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racking" sheetId="1" state="visible" r:id="rId3"/>
    <sheet name="Standing Tracker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<sst xmlns="http://schemas.openxmlformats.org/spreadsheetml/2006/main" count="136" uniqueCount="120">
  <si>
    <t xml:space="preserve">Year-Long Standing Desk Tracker</t>
  </si>
  <si>
    <t xml:space="preserve">Year: 2026</t>
  </si>
  <si>
    <t xml:space="preserve">Q1 (Jan-Mar)</t>
  </si>
  <si>
    <t xml:space="preserve">Week Starting</t>
  </si>
  <si>
    <t xml:space="preserve">Week Ending</t>
  </si>
  <si>
    <t xml:space="preserve">Total Hours</t>
  </si>
  <si>
    <t xml:space="preserve">Daily Avg (hrs)</t>
  </si>
  <si>
    <t xml:space="preserve">Notes</t>
  </si>
  <si>
    <t xml:space="preserve">1/6/2026</t>
  </si>
  <si>
    <t xml:space="preserve">1/12/2026</t>
  </si>
  <si>
    <t xml:space="preserve">1/13/2026</t>
  </si>
  <si>
    <t xml:space="preserve">1/19/2026</t>
  </si>
  <si>
    <t xml:space="preserve">1/20/2026</t>
  </si>
  <si>
    <t xml:space="preserve">1/26/2026</t>
  </si>
  <si>
    <t xml:space="preserve">1/27/2026</t>
  </si>
  <si>
    <t xml:space="preserve">2/2/2026</t>
  </si>
  <si>
    <t xml:space="preserve">2/3/2026</t>
  </si>
  <si>
    <t xml:space="preserve">2/9/2026</t>
  </si>
  <si>
    <t xml:space="preserve">Q1 (Jan-Mar) Total:</t>
  </si>
  <si>
    <t xml:space="preserve">Q1 (Jan-Mar) Avg/Week:</t>
  </si>
  <si>
    <t xml:space="preserve">Q2 (Apr-Jun)</t>
  </si>
  <si>
    <t xml:space="preserve">4/7/2026</t>
  </si>
  <si>
    <t xml:space="preserve">4/13/2026</t>
  </si>
  <si>
    <t xml:space="preserve">4/14/2026</t>
  </si>
  <si>
    <t xml:space="preserve">4/20/2026</t>
  </si>
  <si>
    <t xml:space="preserve">Q2 (Apr-Jun) Total:</t>
  </si>
  <si>
    <t xml:space="preserve">Q2 (Apr-Jun) Avg/Week:</t>
  </si>
  <si>
    <t xml:space="preserve">Q3 (Jul-Sep)</t>
  </si>
  <si>
    <t xml:space="preserve">Q3 (Jul-Sep) Total:</t>
  </si>
  <si>
    <t xml:space="preserve">Q3 (Jul-Sep) Avg/Week:</t>
  </si>
  <si>
    <t xml:space="preserve">Q4 (Oct-Dec)</t>
  </si>
  <si>
    <t xml:space="preserve">Q4 (Oct-Dec) Total:</t>
  </si>
  <si>
    <t xml:space="preserve">Q4 (Oct-Dec) Avg/Week:</t>
  </si>
  <si>
    <t xml:space="preserve">📊 YEARLY SUMMARY</t>
  </si>
  <si>
    <t xml:space="preserve">Total Standing Hours (Full Year):</t>
  </si>
  <si>
    <t xml:space="preserve">Average Hours per Week (Full Year):</t>
  </si>
  <si>
    <t xml:space="preserve">Average Hours per Day (Full Year):</t>
  </si>
  <si>
    <t xml:space="preserve">How to Use Master Tracking:</t>
  </si>
  <si>
    <t xml:space="preserve">1. After completing each week in the "Standing Tracker" tab, enter your summary in the appropriate quarter</t>
  </si>
  <si>
    <t xml:space="preserve">2. Fill in: Week Starting, Week Ending, Total Hours, and Daily Average from your weekly summary</t>
  </si>
  <si>
    <t xml:space="preserve">3. Quarter summaries automatically calculate totals and averages for each 13-week period</t>
  </si>
  <si>
    <t xml:space="preserve">4. Yearly summary at the bottom shows your complete annual performance!</t>
  </si>
  <si>
    <t xml:space="preserve">💡 Tip: Compare quarters to identify seasonal trends in your standing habits!</t>
  </si>
  <si>
    <t xml:space="preserve">Standing Desk Time Tracker</t>
  </si>
  <si>
    <t xml:space="preserve">Week Starting:</t>
  </si>
  <si>
    <t xml:space="preserve">1/21/2025</t>
  </si>
  <si>
    <t xml:space="preserve">← Enter start date here (format: M/D/YYYY)</t>
  </si>
  <si>
    <t xml:space="preserve">Date</t>
  </si>
  <si>
    <t xml:space="preserve">Day</t>
  </si>
  <si>
    <t xml:space="preserve">Session #</t>
  </si>
  <si>
    <t xml:space="preserve">Start Time</t>
  </si>
  <si>
    <t xml:space="preserve">End Time</t>
  </si>
  <si>
    <t xml:space="preserve">Duration (min)</t>
  </si>
  <si>
    <t xml:space="preserve">Daily Total (min)</t>
  </si>
  <si>
    <t xml:space="preserve">Morning standup meeting</t>
  </si>
  <si>
    <t xml:space="preserve">Focused coding session</t>
  </si>
  <si>
    <t xml:space="preserve">Afternoon emails</t>
  </si>
  <si>
    <t xml:space="preserve">Team check-in</t>
  </si>
  <si>
    <t xml:space="preserve">Planning session</t>
  </si>
  <si>
    <t xml:space="preserve">Deep work - felt energized!</t>
  </si>
  <si>
    <t xml:space="preserve">Client call</t>
  </si>
  <si>
    <t xml:space="preserve">Code review</t>
  </si>
  <si>
    <t xml:space="preserve">Wrap-up tasks</t>
  </si>
  <si>
    <t xml:space="preserve">Morning reading</t>
  </si>
  <si>
    <t xml:space="preserve">Project work - no back pain!</t>
  </si>
  <si>
    <t xml:space="preserve">Documentation</t>
  </si>
  <si>
    <t xml:space="preserve">End of day tasks</t>
  </si>
  <si>
    <t xml:space="preserve">Sprint planning</t>
  </si>
  <si>
    <t xml:space="preserve">Debugging session</t>
  </si>
  <si>
    <t xml:space="preserve">Stakeholder meeting</t>
  </si>
  <si>
    <t xml:space="preserve">Weekly review</t>
  </si>
  <si>
    <t xml:space="preserve">Finishing up tasks</t>
  </si>
  <si>
    <t xml:space="preserve">Quick sync with team</t>
  </si>
  <si>
    <t xml:space="preserve">Weekly Summary</t>
  </si>
  <si>
    <t xml:space="preserve">Total Standing Time (min):</t>
  </si>
  <si>
    <t xml:space="preserve">Total Standing Time (hours):</t>
  </si>
  <si>
    <t xml:space="preserve">Average per Day (hours):</t>
  </si>
  <si>
    <t xml:space="preserve">Goal: 4+ hours/day</t>
  </si>
  <si>
    <t xml:space="preserve">How to Use Your Standing Desk Tracker</t>
  </si>
  <si>
    <t xml:space="preserve">1. Enter the week starting date in the blue cell (B2) - all dates will update automatically</t>
  </si>
  <si>
    <t xml:space="preserve">2. Each day has 8 time slots for recording standing sessions</t>
  </si>
  <si>
    <t xml:space="preserve">TIME ENTRY SHORTCUTS (saves time!):</t>
  </si>
  <si>
    <t xml:space="preserve">   • Windows: Press Ctrl + Shift + ; (semicolon) to insert current time</t>
  </si>
  <si>
    <t xml:space="preserve">   • Mac: Press Cmd + ; (semicolon) to insert current time</t>
  </si>
  <si>
    <t xml:space="preserve">   • Or manually type: 9:30 AM, 2:45 PM, etc.</t>
  </si>
  <si>
    <t xml:space="preserve">3. Duration will automatically calculate in minutes</t>
  </si>
  <si>
    <t xml:space="preserve">   • Sessions over 60 minutes will highlight in ORANGE (consider taking a sitting break!)</t>
  </si>
  <si>
    <t xml:space="preserve">4. Daily Total shows at the end of each day with color coding:</t>
  </si>
  <si>
    <t xml:space="preserve">   • GREEN: 4+ hours (240+ min) - Excellent!</t>
  </si>
  <si>
    <t xml:space="preserve">   • YELLOW: 2-4 hours (120-239 min) - Good progress</t>
  </si>
  <si>
    <t xml:space="preserve">   • RED: Under 2 hours (&lt; 120 min) - Room for improvement</t>
  </si>
  <si>
    <t xml:space="preserve">5. Use the Notes column for tracking how you felt or observations</t>
  </si>
  <si>
    <t xml:space="preserve">6. Weekly summary shows total and average standing time</t>
  </si>
  <si>
    <t xml:space="preserve">Health Benefits of Standing:</t>
  </si>
  <si>
    <t xml:space="preserve">• Reduces lower back pain and improves spinal health</t>
  </si>
  <si>
    <t xml:space="preserve">• Increases energy and circulation</t>
  </si>
  <si>
    <t xml:space="preserve">• Burns more calories than sitting</t>
  </si>
  <si>
    <t xml:space="preserve">• Best practice: Alternate sitting/standing every 30-60 minutes</t>
  </si>
  <si>
    <t xml:space="preserve">• Avoid standing for more than 60-90 minutes without a break</t>
  </si>
  <si>
    <t xml:space="preserve">VIEWING &amp; CUSTOMIZING THE SPREADSHEET:</t>
  </si>
  <si>
    <t xml:space="preserve">To view formulas (see how calculations work):</t>
  </si>
  <si>
    <t xml:space="preserve">   • Windows: Press Ctrl + ~ (tilde key, above Tab)</t>
  </si>
  <si>
    <t xml:space="preserve">   • Mac: Press Ctrl + ~ or Cmd + ~</t>
  </si>
  <si>
    <t xml:space="preserve">   • Press again to return to normal view</t>
  </si>
  <si>
    <t xml:space="preserve">   • Alternative: Formulas tab → Show Formulas button</t>
  </si>
  <si>
    <t xml:space="preserve">To customize or expand this spreadsheet:</t>
  </si>
  <si>
    <t xml:space="preserve">   • All formulas are visible and editable - feel free to modify!</t>
  </si>
  <si>
    <t xml:space="preserve">   • Copy week structure to add more tracking weeks</t>
  </si>
  <si>
    <t xml:space="preserve">   • Adjust conditional formatting colors in Home → Conditional Formatting</t>
  </si>
  <si>
    <t xml:space="preserve">   • Add charts by selecting data and using Insert → Charts</t>
  </si>
  <si>
    <t xml:space="preserve">💡 Pro Tip: Click any cell with a formula and check the formula bar at the top to see how it works!</t>
  </si>
  <si>
    <t xml:space="preserve">WORKFLOW: WEEKLY TRACKING TO MASTER SHEET:</t>
  </si>
  <si>
    <t xml:space="preserve">1. Each week, use the "Standing Tracker" tab to log your daily standing sessions</t>
  </si>
  <si>
    <t xml:space="preserve">2. At the end of the week, note your Weekly Summary (total hours and daily average)</t>
  </si>
  <si>
    <t xml:space="preserve">3. Go to "Master Tracking" tab and MANUALLY enter that week's data in the appropriate quarter</t>
  </si>
  <si>
    <t xml:space="preserve">4. Update the "Week Starting" date in Standing Tracker for the next week</t>
  </si>
  <si>
    <t xml:space="preserve">5. Repeat! The Master Tracking builds your year-long history</t>
  </si>
  <si>
    <t xml:space="preserve">⚠️ Important: Master Tracking does NOT auto-update from Standing Tracker</t>
  </si>
  <si>
    <t xml:space="preserve">This is by design - it keeps the spreadsheet simple and prevents formula errors.</t>
  </si>
  <si>
    <t xml:space="preserve">Manual entry takes just 30 seconds per week and gives you full control.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</si>
</sst>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h:mm\ AM/PM"/>
    <numFmt numFmtId="167" formatCode="General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i val="true"/>
      <sz val="11"/>
      <color rgb="FF00B05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i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  <fill>
      <patternFill patternType="solid">
        <fgColor rgb="FF4472C4"/>
        <bgColor rgb="FF44546A"/>
      </patternFill>
    </fill>
    <fill>
      <patternFill patternType="solid">
        <fgColor rgb="FFD9E1F2"/>
        <bgColor rgb="FFE7E6E6"/>
      </patternFill>
    </fill>
    <fill>
      <patternFill patternType="solid">
        <fgColor rgb="FF44546A"/>
        <bgColor rgb="FF1F4E78"/>
      </patternFill>
    </fill>
    <fill>
      <patternFill patternType="solid">
        <fgColor rgb="FFE2EFDA"/>
        <bgColor rgb="FFE7E6E6"/>
      </patternFill>
    </fill>
    <fill>
      <patternFill patternType="solid">
        <fgColor rgb="FFE7E6E6"/>
        <bgColor rgb="FFE2EFDA"/>
      </patternFill>
    </fill>
    <fill>
      <patternFill patternType="solid">
        <fgColor rgb="FFF4F9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D9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4F9F0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FF6600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5"/>
    <col collapsed="false" customWidth="true" hidden="false" outlineLevel="0" max="4" min="3" style="1" width="18"/>
    <col collapsed="false" customWidth="true" hidden="false" outlineLevel="0" max="5" min="5" style="1" width="2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6" t="s">
        <v>9</v>
      </c>
      <c r="C6" s="7" t="n">
        <v>22.5</v>
      </c>
      <c r="D6" s="7" t="n">
        <v>3.2</v>
      </c>
      <c r="E6" s="6"/>
    </row>
    <row r="7" customFormat="false" ht="15" hidden="false" customHeight="true" outlineLevel="0" collapsed="false">
      <c r="A7" s="6" t="s">
        <v>10</v>
      </c>
      <c r="B7" s="6" t="s">
        <v>11</v>
      </c>
      <c r="C7" s="7" t="n">
        <v>24.8</v>
      </c>
      <c r="D7" s="7" t="n">
        <v>3.5</v>
      </c>
      <c r="E7" s="6"/>
    </row>
    <row r="8" customFormat="false" ht="15" hidden="false" customHeight="true" outlineLevel="0" collapsed="false">
      <c r="A8" s="6" t="s">
        <v>12</v>
      </c>
      <c r="B8" s="6" t="s">
        <v>13</v>
      </c>
      <c r="C8" s="7"/>
      <c r="D8" s="7"/>
      <c r="E8" s="6"/>
    </row>
    <row r="9" customFormat="false" ht="15" hidden="false" customHeight="true" outlineLevel="0" collapsed="false">
      <c r="A9" s="6" t="s">
        <v>14</v>
      </c>
      <c r="B9" s="6" t="s">
        <v>15</v>
      </c>
      <c r="C9" s="7" t="n">
        <v>23.7</v>
      </c>
      <c r="D9" s="7" t="n">
        <v>3.4</v>
      </c>
      <c r="E9" s="6"/>
    </row>
    <row r="10" customFormat="false" ht="15" hidden="false" customHeight="true" outlineLevel="0" collapsed="false">
      <c r="A10" s="6" t="s">
        <v>16</v>
      </c>
      <c r="B10" s="6" t="s">
        <v>17</v>
      </c>
      <c r="C10" s="7" t="n">
        <v>25.1</v>
      </c>
      <c r="D10" s="7" t="n">
        <v>3.6</v>
      </c>
      <c r="E10" s="6"/>
    </row>
    <row r="11" customFormat="false" ht="15" hidden="false" customHeight="true" outlineLevel="0" collapsed="false">
      <c r="A11" s="6"/>
      <c r="B11" s="6"/>
      <c r="C11" s="7"/>
      <c r="D11" s="7"/>
      <c r="E11" s="6"/>
    </row>
    <row r="12" customFormat="false" ht="15" hidden="false" customHeight="true" outlineLevel="0" collapsed="false">
      <c r="A12" s="6"/>
      <c r="B12" s="6"/>
      <c r="C12" s="7"/>
      <c r="D12" s="7"/>
      <c r="E12" s="6"/>
    </row>
    <row r="13" customFormat="false" ht="15" hidden="false" customHeight="true" outlineLevel="0" collapsed="false">
      <c r="A13" s="6"/>
      <c r="B13" s="6"/>
      <c r="C13" s="7"/>
      <c r="D13" s="7"/>
      <c r="E13" s="6"/>
    </row>
    <row r="14" customFormat="false" ht="15" hidden="false" customHeight="true" outlineLevel="0" collapsed="false">
      <c r="A14" s="6"/>
      <c r="B14" s="6"/>
      <c r="C14" s="7"/>
      <c r="D14" s="7"/>
      <c r="E14" s="6"/>
    </row>
    <row r="15" customFormat="false" ht="15" hidden="false" customHeight="true" outlineLevel="0" collapsed="false">
      <c r="A15" s="6"/>
      <c r="B15" s="6"/>
      <c r="C15" s="7"/>
      <c r="D15" s="7"/>
      <c r="E15" s="6"/>
    </row>
    <row r="16" customFormat="false" ht="15" hidden="false" customHeight="true" outlineLevel="0" collapsed="false">
      <c r="A16" s="6"/>
      <c r="B16" s="6"/>
      <c r="C16" s="7"/>
      <c r="D16" s="7"/>
      <c r="E16" s="6"/>
    </row>
    <row r="17" customFormat="false" ht="15" hidden="false" customHeight="true" outlineLevel="0" collapsed="false">
      <c r="A17" s="6"/>
      <c r="B17" s="6"/>
      <c r="C17" s="7"/>
      <c r="D17" s="7"/>
      <c r="E17" s="6"/>
    </row>
    <row r="18" customFormat="false" ht="15" hidden="false" customHeight="true" outlineLevel="0" collapsed="false">
      <c r="A18" s="6"/>
      <c r="B18" s="6"/>
      <c r="C18" s="7"/>
      <c r="D18" s="7"/>
      <c r="E18" s="6"/>
    </row>
    <row r="19" customFormat="false" ht="15" hidden="false" customHeight="true" outlineLevel="0" collapsed="false">
      <c r="A19" s="8" t="s">
        <v>18</v>
      </c>
      <c r="C19" s="9" t="n">
        <f aca="false">SUM(C6:C18)</f>
        <v>96.1</v>
      </c>
    </row>
    <row r="20" customFormat="false" ht="15" hidden="false" customHeight="true" outlineLevel="0" collapsed="false">
      <c r="A20" s="8" t="s">
        <v>19</v>
      </c>
      <c r="C20" s="9" t="n">
        <f aca="false">IF(COUNT(C6:C18)&gt;0, AVERAGE(C6:C18), 0)</f>
        <v>24.025</v>
      </c>
    </row>
    <row r="22" customFormat="false" ht="15" hidden="false" customHeight="true" outlineLevel="0" collapsed="false">
      <c r="A22" s="4" t="s">
        <v>20</v>
      </c>
      <c r="B22" s="4"/>
      <c r="C22" s="4"/>
      <c r="D22" s="4"/>
      <c r="E22" s="4"/>
    </row>
    <row r="23" customFormat="false" ht="15" hidden="false" customHeight="true" outlineLevel="0" collapsed="false">
      <c r="A23" s="5" t="s">
        <v>3</v>
      </c>
      <c r="B23" s="5" t="s">
        <v>4</v>
      </c>
      <c r="C23" s="5" t="s">
        <v>5</v>
      </c>
      <c r="D23" s="5" t="s">
        <v>6</v>
      </c>
      <c r="E23" s="5" t="s">
        <v>7</v>
      </c>
    </row>
    <row r="24" customFormat="false" ht="15" hidden="false" customHeight="true" outlineLevel="0" collapsed="false">
      <c r="A24" s="6" t="s">
        <v>21</v>
      </c>
      <c r="B24" s="6" t="s">
        <v>22</v>
      </c>
      <c r="C24" s="7" t="n">
        <v>27.2</v>
      </c>
      <c r="D24" s="7" t="n">
        <v>3.9</v>
      </c>
      <c r="E24" s="6"/>
    </row>
    <row r="25" customFormat="false" ht="15" hidden="false" customHeight="true" outlineLevel="0" collapsed="false">
      <c r="A25" s="6" t="s">
        <v>23</v>
      </c>
      <c r="B25" s="6" t="s">
        <v>24</v>
      </c>
      <c r="C25" s="7" t="n">
        <v>28.5</v>
      </c>
      <c r="D25" s="7" t="n">
        <v>4.1</v>
      </c>
      <c r="E25" s="6"/>
    </row>
    <row r="26" customFormat="false" ht="15" hidden="false" customHeight="true" outlineLevel="0" collapsed="false">
      <c r="A26" s="6"/>
      <c r="B26" s="6"/>
      <c r="C26" s="7"/>
      <c r="D26" s="7"/>
      <c r="E26" s="6"/>
    </row>
    <row r="27" customFormat="false" ht="15" hidden="false" customHeight="true" outlineLevel="0" collapsed="false">
      <c r="A27" s="6"/>
      <c r="B27" s="6"/>
      <c r="C27" s="7"/>
      <c r="D27" s="7"/>
      <c r="E27" s="6"/>
    </row>
    <row r="28" customFormat="false" ht="15" hidden="false" customHeight="true" outlineLevel="0" collapsed="false">
      <c r="A28" s="6"/>
      <c r="B28" s="6"/>
      <c r="C28" s="7"/>
      <c r="D28" s="7"/>
      <c r="E28" s="6"/>
    </row>
    <row r="29" customFormat="false" ht="15" hidden="false" customHeight="true" outlineLevel="0" collapsed="false">
      <c r="A29" s="6"/>
      <c r="B29" s="6"/>
      <c r="C29" s="7"/>
      <c r="D29" s="7"/>
      <c r="E29" s="6"/>
    </row>
    <row r="30" customFormat="false" ht="15" hidden="false" customHeight="true" outlineLevel="0" collapsed="false">
      <c r="A30" s="6"/>
      <c r="B30" s="6"/>
      <c r="C30" s="7"/>
      <c r="D30" s="7"/>
      <c r="E30" s="6"/>
    </row>
    <row r="31" customFormat="false" ht="15" hidden="false" customHeight="true" outlineLevel="0" collapsed="false">
      <c r="A31" s="6"/>
      <c r="B31" s="6"/>
      <c r="C31" s="7"/>
      <c r="D31" s="7"/>
      <c r="E31" s="6"/>
    </row>
    <row r="32" customFormat="false" ht="15" hidden="false" customHeight="true" outlineLevel="0" collapsed="false">
      <c r="A32" s="6"/>
      <c r="B32" s="6"/>
      <c r="C32" s="7"/>
      <c r="D32" s="7"/>
      <c r="E32" s="6"/>
    </row>
    <row r="33" customFormat="false" ht="15" hidden="false" customHeight="true" outlineLevel="0" collapsed="false">
      <c r="A33" s="6"/>
      <c r="B33" s="6"/>
      <c r="C33" s="7"/>
      <c r="D33" s="7"/>
      <c r="E33" s="6"/>
    </row>
    <row r="34" customFormat="false" ht="15" hidden="false" customHeight="true" outlineLevel="0" collapsed="false">
      <c r="A34" s="6"/>
      <c r="B34" s="6"/>
      <c r="C34" s="7"/>
      <c r="D34" s="7"/>
      <c r="E34" s="6"/>
    </row>
    <row r="35" customFormat="false" ht="15" hidden="false" customHeight="true" outlineLevel="0" collapsed="false">
      <c r="A35" s="6"/>
      <c r="B35" s="6"/>
      <c r="C35" s="7"/>
      <c r="D35" s="7"/>
      <c r="E35" s="6"/>
    </row>
    <row r="36" customFormat="false" ht="15" hidden="false" customHeight="true" outlineLevel="0" collapsed="false">
      <c r="A36" s="6"/>
      <c r="B36" s="6"/>
      <c r="C36" s="7"/>
      <c r="D36" s="7"/>
      <c r="E36" s="6"/>
    </row>
    <row r="37" customFormat="false" ht="15" hidden="false" customHeight="true" outlineLevel="0" collapsed="false">
      <c r="A37" s="8" t="s">
        <v>25</v>
      </c>
      <c r="C37" s="9" t="n">
        <f aca="false">SUM(C24:C36)</f>
        <v>55.7</v>
      </c>
    </row>
    <row r="38" customFormat="false" ht="15" hidden="false" customHeight="true" outlineLevel="0" collapsed="false">
      <c r="A38" s="8" t="s">
        <v>26</v>
      </c>
      <c r="C38" s="9" t="n">
        <f aca="false">IF(COUNT(C24:C36)&gt;0, AVERAGE(C24:C36), 0)</f>
        <v>27.85</v>
      </c>
    </row>
    <row r="40" customFormat="false" ht="15" hidden="false" customHeight="true" outlineLevel="0" collapsed="false">
      <c r="A40" s="4" t="s">
        <v>27</v>
      </c>
      <c r="B40" s="4"/>
      <c r="C40" s="4"/>
      <c r="D40" s="4"/>
      <c r="E40" s="4"/>
    </row>
    <row r="41" customFormat="false" ht="15" hidden="false" customHeight="true" outlineLevel="0" collapsed="false">
      <c r="A41" s="5" t="s">
        <v>3</v>
      </c>
      <c r="B41" s="5" t="s">
        <v>4</v>
      </c>
      <c r="C41" s="5" t="s">
        <v>5</v>
      </c>
      <c r="D41" s="5" t="s">
        <v>6</v>
      </c>
      <c r="E41" s="5" t="s">
        <v>7</v>
      </c>
    </row>
    <row r="42" customFormat="false" ht="15" hidden="false" customHeight="true" outlineLevel="0" collapsed="false">
      <c r="A42" s="6"/>
      <c r="B42" s="6"/>
      <c r="C42" s="7"/>
      <c r="D42" s="7"/>
      <c r="E42" s="6"/>
    </row>
    <row r="43" customFormat="false" ht="15" hidden="false" customHeight="true" outlineLevel="0" collapsed="false">
      <c r="A43" s="6"/>
      <c r="B43" s="6"/>
      <c r="C43" s="7"/>
      <c r="D43" s="7"/>
      <c r="E43" s="6"/>
    </row>
    <row r="44" customFormat="false" ht="15" hidden="false" customHeight="true" outlineLevel="0" collapsed="false">
      <c r="A44" s="6"/>
      <c r="B44" s="6"/>
      <c r="C44" s="7"/>
      <c r="D44" s="7"/>
      <c r="E44" s="6"/>
    </row>
    <row r="45" customFormat="false" ht="15" hidden="false" customHeight="true" outlineLevel="0" collapsed="false">
      <c r="A45" s="6"/>
      <c r="B45" s="6"/>
      <c r="C45" s="7"/>
      <c r="D45" s="7"/>
      <c r="E45" s="6"/>
    </row>
    <row r="46" customFormat="false" ht="15" hidden="false" customHeight="true" outlineLevel="0" collapsed="false">
      <c r="A46" s="6"/>
      <c r="B46" s="6"/>
      <c r="C46" s="7"/>
      <c r="D46" s="7"/>
      <c r="E46" s="6"/>
    </row>
    <row r="47" customFormat="false" ht="15" hidden="false" customHeight="true" outlineLevel="0" collapsed="false">
      <c r="A47" s="6"/>
      <c r="B47" s="6"/>
      <c r="C47" s="7"/>
      <c r="D47" s="7"/>
      <c r="E47" s="6"/>
    </row>
    <row r="48" customFormat="false" ht="15" hidden="false" customHeight="true" outlineLevel="0" collapsed="false">
      <c r="A48" s="6"/>
      <c r="B48" s="6"/>
      <c r="C48" s="7"/>
      <c r="D48" s="7"/>
      <c r="E48" s="6"/>
    </row>
    <row r="49" customFormat="false" ht="15" hidden="false" customHeight="true" outlineLevel="0" collapsed="false">
      <c r="A49" s="6"/>
      <c r="B49" s="6"/>
      <c r="C49" s="7"/>
      <c r="D49" s="7"/>
      <c r="E49" s="6"/>
    </row>
    <row r="50" customFormat="false" ht="15" hidden="false" customHeight="true" outlineLevel="0" collapsed="false">
      <c r="A50" s="6"/>
      <c r="B50" s="6"/>
      <c r="C50" s="7"/>
      <c r="D50" s="7"/>
      <c r="E50" s="6"/>
    </row>
    <row r="51" customFormat="false" ht="15" hidden="false" customHeight="true" outlineLevel="0" collapsed="false">
      <c r="A51" s="6"/>
      <c r="B51" s="6"/>
      <c r="C51" s="7"/>
      <c r="D51" s="7"/>
      <c r="E51" s="6"/>
    </row>
    <row r="52" customFormat="false" ht="15" hidden="false" customHeight="true" outlineLevel="0" collapsed="false">
      <c r="A52" s="6"/>
      <c r="B52" s="6"/>
      <c r="C52" s="7"/>
      <c r="D52" s="7"/>
      <c r="E52" s="6"/>
    </row>
    <row r="53" customFormat="false" ht="15" hidden="false" customHeight="true" outlineLevel="0" collapsed="false">
      <c r="A53" s="6"/>
      <c r="B53" s="6"/>
      <c r="C53" s="7"/>
      <c r="D53" s="7"/>
      <c r="E53" s="6"/>
    </row>
    <row r="54" customFormat="false" ht="15" hidden="false" customHeight="true" outlineLevel="0" collapsed="false">
      <c r="A54" s="6"/>
      <c r="B54" s="6"/>
      <c r="C54" s="7"/>
      <c r="D54" s="7"/>
      <c r="E54" s="6"/>
    </row>
    <row r="55" customFormat="false" ht="15" hidden="false" customHeight="true" outlineLevel="0" collapsed="false">
      <c r="A55" s="8" t="s">
        <v>28</v>
      </c>
      <c r="C55" s="9" t="n">
        <f aca="false">SUM(C42:C54)</f>
        <v>0</v>
      </c>
    </row>
    <row r="56" customFormat="false" ht="15" hidden="false" customHeight="true" outlineLevel="0" collapsed="false">
      <c r="A56" s="8" t="s">
        <v>29</v>
      </c>
      <c r="C56" s="9" t="n">
        <f aca="false">IF(COUNT(C42:C54)&gt;0, AVERAGE(C42:C54), 0)</f>
        <v>0</v>
      </c>
    </row>
    <row r="58" customFormat="false" ht="15" hidden="false" customHeight="true" outlineLevel="0" collapsed="false">
      <c r="A58" s="4" t="s">
        <v>30</v>
      </c>
      <c r="B58" s="4"/>
      <c r="C58" s="4"/>
      <c r="D58" s="4"/>
      <c r="E58" s="4"/>
    </row>
    <row r="59" customFormat="false" ht="15" hidden="false" customHeight="true" outlineLevel="0" collapsed="false">
      <c r="A59" s="5" t="s">
        <v>3</v>
      </c>
      <c r="B59" s="5" t="s">
        <v>4</v>
      </c>
      <c r="C59" s="5" t="s">
        <v>5</v>
      </c>
      <c r="D59" s="5" t="s">
        <v>6</v>
      </c>
      <c r="E59" s="5" t="s">
        <v>7</v>
      </c>
    </row>
    <row r="60" customFormat="false" ht="15" hidden="false" customHeight="true" outlineLevel="0" collapsed="false">
      <c r="A60" s="6"/>
      <c r="B60" s="6"/>
      <c r="C60" s="7"/>
      <c r="D60" s="7"/>
      <c r="E60" s="6"/>
    </row>
    <row r="61" customFormat="false" ht="15" hidden="false" customHeight="true" outlineLevel="0" collapsed="false">
      <c r="A61" s="6"/>
      <c r="B61" s="6"/>
      <c r="C61" s="7"/>
      <c r="D61" s="7"/>
      <c r="E61" s="6"/>
    </row>
    <row r="62" customFormat="false" ht="15" hidden="false" customHeight="true" outlineLevel="0" collapsed="false">
      <c r="A62" s="6"/>
      <c r="B62" s="6"/>
      <c r="C62" s="7"/>
      <c r="D62" s="7"/>
      <c r="E62" s="6"/>
    </row>
    <row r="63" customFormat="false" ht="15" hidden="false" customHeight="true" outlineLevel="0" collapsed="false">
      <c r="A63" s="6"/>
      <c r="B63" s="6"/>
      <c r="C63" s="7"/>
      <c r="D63" s="7"/>
      <c r="E63" s="6"/>
    </row>
    <row r="64" customFormat="false" ht="15" hidden="false" customHeight="true" outlineLevel="0" collapsed="false">
      <c r="A64" s="6"/>
      <c r="B64" s="6"/>
      <c r="C64" s="7"/>
      <c r="D64" s="7"/>
      <c r="E64" s="6"/>
    </row>
    <row r="65" customFormat="false" ht="15" hidden="false" customHeight="true" outlineLevel="0" collapsed="false">
      <c r="A65" s="6"/>
      <c r="B65" s="6"/>
      <c r="C65" s="7"/>
      <c r="D65" s="7"/>
      <c r="E65" s="6"/>
    </row>
    <row r="66" customFormat="false" ht="15" hidden="false" customHeight="true" outlineLevel="0" collapsed="false">
      <c r="A66" s="6"/>
      <c r="B66" s="6"/>
      <c r="C66" s="7"/>
      <c r="D66" s="7"/>
      <c r="E66" s="6"/>
    </row>
    <row r="67" customFormat="false" ht="15" hidden="false" customHeight="true" outlineLevel="0" collapsed="false">
      <c r="A67" s="6"/>
      <c r="B67" s="6"/>
      <c r="C67" s="7"/>
      <c r="D67" s="7"/>
      <c r="E67" s="6"/>
    </row>
    <row r="68" customFormat="false" ht="15" hidden="false" customHeight="true" outlineLevel="0" collapsed="false">
      <c r="A68" s="6"/>
      <c r="B68" s="6"/>
      <c r="C68" s="7"/>
      <c r="D68" s="7"/>
      <c r="E68" s="6"/>
    </row>
    <row r="69" customFormat="false" ht="15" hidden="false" customHeight="true" outlineLevel="0" collapsed="false">
      <c r="A69" s="6"/>
      <c r="B69" s="6"/>
      <c r="C69" s="7"/>
      <c r="D69" s="7"/>
      <c r="E69" s="6"/>
    </row>
    <row r="70" customFormat="false" ht="15" hidden="false" customHeight="true" outlineLevel="0" collapsed="false">
      <c r="A70" s="6"/>
      <c r="B70" s="6"/>
      <c r="C70" s="7"/>
      <c r="D70" s="7"/>
      <c r="E70" s="6"/>
    </row>
    <row r="71" customFormat="false" ht="15" hidden="false" customHeight="true" outlineLevel="0" collapsed="false">
      <c r="A71" s="6"/>
      <c r="B71" s="6"/>
      <c r="C71" s="7"/>
      <c r="D71" s="7"/>
      <c r="E71" s="6"/>
    </row>
    <row r="72" customFormat="false" ht="15" hidden="false" customHeight="true" outlineLevel="0" collapsed="false">
      <c r="A72" s="6"/>
      <c r="B72" s="6"/>
      <c r="C72" s="7"/>
      <c r="D72" s="7"/>
      <c r="E72" s="6"/>
    </row>
    <row r="73" customFormat="false" ht="15" hidden="false" customHeight="true" outlineLevel="0" collapsed="false">
      <c r="A73" s="8" t="s">
        <v>31</v>
      </c>
      <c r="C73" s="9" t="n">
        <f aca="false">SUM(C60:C72)</f>
        <v>0</v>
      </c>
    </row>
    <row r="74" customFormat="false" ht="15" hidden="false" customHeight="true" outlineLevel="0" collapsed="false">
      <c r="A74" s="8" t="s">
        <v>32</v>
      </c>
      <c r="C74" s="9" t="n">
        <f aca="false">IF(COUNT(C60:C72)&gt;0, AVERAGE(C60:C72), 0)</f>
        <v>0</v>
      </c>
    </row>
    <row r="77" customFormat="false" ht="15.75" hidden="false" customHeight="true" outlineLevel="0" collapsed="false">
      <c r="A77" s="10" t="s">
        <v>33</v>
      </c>
      <c r="B77" s="10"/>
      <c r="C77" s="10"/>
      <c r="D77" s="10"/>
      <c r="E77" s="10"/>
    </row>
    <row r="78" customFormat="false" ht="15" hidden="false" customHeight="true" outlineLevel="0" collapsed="false">
      <c r="A78" s="11" t="s">
        <v>34</v>
      </c>
      <c r="C78" s="12" t="n">
        <f aca="false">SUM(C6:C18, C24:C36, C42:C54, C60:C72)</f>
        <v>151.8</v>
      </c>
    </row>
    <row r="79" customFormat="false" ht="15" hidden="false" customHeight="true" outlineLevel="0" collapsed="false">
      <c r="A79" s="11" t="s">
        <v>35</v>
      </c>
      <c r="C79" s="12" t="n">
        <f aca="false">IF(COUNT(C6:C18, C24:C36, C42:C54, C60:C72)&gt;0, AVERAGE(C6:C18, C24:C36, C42:C54, C60:C72), 0)</f>
        <v>25.3</v>
      </c>
    </row>
    <row r="80" customFormat="false" ht="15" hidden="false" customHeight="true" outlineLevel="0" collapsed="false">
      <c r="A80" s="11" t="s">
        <v>36</v>
      </c>
      <c r="C80" s="12" t="n">
        <f aca="false">IF(COUNT(D6:D18, D24:D36, D42:D54, D60:D72)&gt;0, AVERAGE(D6:D18, D24:D36, D42:D54, D60:D72), 0)</f>
        <v>3.61666666666667</v>
      </c>
    </row>
    <row r="83" customFormat="false" ht="15" hidden="false" customHeight="true" outlineLevel="0" collapsed="false">
      <c r="A83" s="8" t="s">
        <v>37</v>
      </c>
    </row>
    <row r="84" customFormat="false" ht="15" hidden="false" customHeight="true" outlineLevel="0" collapsed="false">
      <c r="A84" s="1" t="s">
        <v>38</v>
      </c>
    </row>
    <row r="85" customFormat="false" ht="15" hidden="false" customHeight="true" outlineLevel="0" collapsed="false">
      <c r="A85" s="1" t="s">
        <v>39</v>
      </c>
    </row>
    <row r="86" customFormat="false" ht="15" hidden="false" customHeight="true" outlineLevel="0" collapsed="false">
      <c r="A86" s="1" t="s">
        <v>40</v>
      </c>
    </row>
    <row r="87" customFormat="false" ht="15" hidden="false" customHeight="true" outlineLevel="0" collapsed="false">
      <c r="A87" s="1" t="s">
        <v>41</v>
      </c>
    </row>
    <row r="89" customFormat="false" ht="15" hidden="false" customHeight="true" outlineLevel="0" collapsed="false">
      <c r="A89" s="13" t="s">
        <v>42</v>
      </c>
    </row>
  </sheetData>
  <mergeCells count="6">
    <mergeCell ref="A1:E1"/>
    <mergeCell ref="A4:E4"/>
    <mergeCell ref="A22:E22"/>
    <mergeCell ref="A40:E40"/>
    <mergeCell ref="A58:E58"/>
    <mergeCell ref="A77:E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5" min="4" style="1" width="12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4" t="s">
        <v>44</v>
      </c>
      <c r="B2" s="15" t="s">
        <v>45</v>
      </c>
      <c r="C2" s="16" t="s">
        <v>46</v>
      </c>
      <c r="D2" s="16"/>
      <c r="E2" s="16"/>
      <c r="F2" s="16"/>
      <c r="G2" s="16"/>
      <c r="H2" s="16"/>
    </row>
    <row r="3" customFormat="false" ht="15" hidden="false" customHeight="true" outlineLevel="0" collapsed="false">
      <c r="A3" s="17" t="s">
        <v>47</v>
      </c>
      <c r="B3" s="17" t="s">
        <v>48</v>
      </c>
      <c r="C3" s="17" t="s">
        <v>49</v>
      </c>
      <c r="D3" s="17" t="s">
        <v>50</v>
      </c>
      <c r="E3" s="17" t="s">
        <v>51</v>
      </c>
      <c r="F3" s="17" t="s">
        <v>52</v>
      </c>
      <c r="G3" s="17" t="s">
        <v>53</v>
      </c>
      <c r="H3" s="17" t="s">
        <v>7</v>
      </c>
    </row>
    <row r="4" customFormat="false" ht="15" hidden="false" customHeight="true" outlineLevel="0" collapsed="false">
      <c r="A4" s="18" t="str">
        <f aca="false">TEXT(B2+0,"M/D/YYYY")</f>
        <v>1/21/2025</v>
      </c>
      <c r="B4" s="19" t="str">
        <f aca="false">TEXT(B2+0,"DDDD")</f>
        <v>Tuesday</v>
      </c>
      <c r="C4" s="7" t="n">
        <v>1</v>
      </c>
      <c r="D4" s="20" t="n">
        <v>0.375</v>
      </c>
      <c r="E4" s="20" t="n">
        <v>0.40625</v>
      </c>
      <c r="F4" s="21" t="n">
        <f aca="false">IF(AND(D4&lt;&gt;"", E4&lt;&gt;""), (E4-D4)*1440, "")</f>
        <v>45</v>
      </c>
      <c r="G4" s="6"/>
      <c r="H4" s="22" t="s">
        <v>54</v>
      </c>
    </row>
    <row r="5" customFormat="false" ht="15" hidden="false" customHeight="true" outlineLevel="0" collapsed="false">
      <c r="A5" s="18"/>
      <c r="B5" s="7"/>
      <c r="C5" s="7" t="n">
        <v>2</v>
      </c>
      <c r="D5" s="20" t="n">
        <v>0.4375</v>
      </c>
      <c r="E5" s="20" t="n">
        <v>0.46875</v>
      </c>
      <c r="F5" s="21" t="n">
        <f aca="false">IF(AND(D5&lt;&gt;"", E5&lt;&gt;""), (E5-D5)*1440, "")</f>
        <v>45</v>
      </c>
      <c r="G5" s="6"/>
      <c r="H5" s="22" t="s">
        <v>55</v>
      </c>
    </row>
    <row r="6" customFormat="false" ht="15" hidden="false" customHeight="true" outlineLevel="0" collapsed="false">
      <c r="A6" s="18"/>
      <c r="B6" s="7"/>
      <c r="C6" s="7" t="n">
        <v>3</v>
      </c>
      <c r="D6" s="20" t="n">
        <v>0.583333333333333</v>
      </c>
      <c r="E6" s="20" t="n">
        <v>0.611111111111111</v>
      </c>
      <c r="F6" s="21" t="n">
        <f aca="false">IF(AND(D6&lt;&gt;"", E6&lt;&gt;""), (E6-D6)*1440, "")</f>
        <v>40</v>
      </c>
      <c r="G6" s="6"/>
      <c r="H6" s="22" t="s">
        <v>56</v>
      </c>
    </row>
    <row r="7" customFormat="false" ht="15" hidden="false" customHeight="true" outlineLevel="0" collapsed="false">
      <c r="A7" s="18"/>
      <c r="B7" s="7"/>
      <c r="C7" s="7" t="n">
        <v>4</v>
      </c>
      <c r="D7" s="20" t="n">
        <v>0.666666666666667</v>
      </c>
      <c r="E7" s="20" t="n">
        <v>0.6875</v>
      </c>
      <c r="F7" s="21" t="n">
        <f aca="false">IF(AND(D7&lt;&gt;"", E7&lt;&gt;""), (E7-D7)*1440, "")</f>
        <v>30</v>
      </c>
      <c r="G7" s="6"/>
      <c r="H7" s="22" t="s">
        <v>57</v>
      </c>
    </row>
    <row r="8" customFormat="false" ht="15" hidden="false" customHeight="true" outlineLevel="0" collapsed="false">
      <c r="A8" s="18"/>
      <c r="B8" s="7"/>
      <c r="C8" s="7" t="n">
        <v>5</v>
      </c>
      <c r="D8" s="20"/>
      <c r="E8" s="20"/>
      <c r="F8" s="7" t="str">
        <f aca="false">IF(AND(D8&lt;&gt;"", E8&lt;&gt;""), (E8-D8)*1440, "")</f>
        <v/>
      </c>
      <c r="G8" s="6"/>
      <c r="H8" s="22"/>
    </row>
    <row r="9" customFormat="false" ht="15" hidden="false" customHeight="true" outlineLevel="0" collapsed="false">
      <c r="A9" s="18"/>
      <c r="B9" s="7"/>
      <c r="C9" s="7" t="n">
        <v>6</v>
      </c>
      <c r="D9" s="20"/>
      <c r="E9" s="20"/>
      <c r="F9" s="7" t="str">
        <f aca="false">IF(AND(D9&lt;&gt;"", E9&lt;&gt;""), (E9-D9)*1440, "")</f>
        <v/>
      </c>
      <c r="G9" s="6"/>
      <c r="H9" s="22"/>
    </row>
    <row r="10" customFormat="false" ht="15" hidden="false" customHeight="true" outlineLevel="0" collapsed="false">
      <c r="A10" s="18"/>
      <c r="B10" s="7"/>
      <c r="C10" s="7" t="n">
        <v>7</v>
      </c>
      <c r="D10" s="20"/>
      <c r="E10" s="20"/>
      <c r="F10" s="7" t="str">
        <f aca="false">IF(AND(D10&lt;&gt;"", E10&lt;&gt;""), (E10-D10)*1440, "")</f>
        <v/>
      </c>
      <c r="G10" s="6"/>
      <c r="H10" s="22"/>
    </row>
    <row r="11" customFormat="false" ht="15" hidden="false" customHeight="true" outlineLevel="0" collapsed="false">
      <c r="A11" s="18"/>
      <c r="B11" s="7"/>
      <c r="C11" s="7" t="n">
        <v>8</v>
      </c>
      <c r="D11" s="20"/>
      <c r="E11" s="20"/>
      <c r="F11" s="7" t="str">
        <f aca="false">IF(AND(D11&lt;&gt;"", E11&lt;&gt;""), (E11-D11)*1440, "")</f>
        <v/>
      </c>
      <c r="G11" s="23" t="n">
        <f aca="false">SUM(F4:F11)</f>
        <v>160</v>
      </c>
      <c r="H11" s="22"/>
    </row>
    <row r="12" customFormat="false" ht="15" hidden="false" customHeight="true" outlineLevel="0" collapsed="false">
      <c r="A12" s="18" t="str">
        <f aca="false">TEXT(B2+1,"M/D/YYYY")</f>
        <v>1/22/2025</v>
      </c>
      <c r="B12" s="19" t="str">
        <f aca="false">TEXT(B2+1,"DDDD")</f>
        <v>Wednesday</v>
      </c>
      <c r="C12" s="7" t="n">
        <v>1</v>
      </c>
      <c r="D12" s="20" t="n">
        <v>0.364583333333333</v>
      </c>
      <c r="E12" s="20" t="n">
        <v>0.395833333333333</v>
      </c>
      <c r="F12" s="21" t="n">
        <f aca="false">IF(AND(D12&lt;&gt;"", E12&lt;&gt;""), (E12-D12)*1440, "")</f>
        <v>45</v>
      </c>
      <c r="G12" s="6"/>
      <c r="H12" s="22" t="s">
        <v>58</v>
      </c>
    </row>
    <row r="13" customFormat="false" ht="15" hidden="false" customHeight="true" outlineLevel="0" collapsed="false">
      <c r="A13" s="18"/>
      <c r="B13" s="7"/>
      <c r="C13" s="7" t="n">
        <v>2</v>
      </c>
      <c r="D13" s="20" t="n">
        <v>0.416666666666667</v>
      </c>
      <c r="E13" s="20" t="n">
        <v>0.472222222222222</v>
      </c>
      <c r="F13" s="21" t="n">
        <f aca="false">IF(AND(D13&lt;&gt;"", E13&lt;&gt;""), (E13-D13)*1440, "")</f>
        <v>80</v>
      </c>
      <c r="G13" s="6"/>
      <c r="H13" s="22" t="s">
        <v>59</v>
      </c>
    </row>
    <row r="14" customFormat="false" ht="15" hidden="false" customHeight="true" outlineLevel="0" collapsed="false">
      <c r="A14" s="18"/>
      <c r="B14" s="7"/>
      <c r="C14" s="7" t="n">
        <v>3</v>
      </c>
      <c r="D14" s="20" t="n">
        <v>0.5625</v>
      </c>
      <c r="E14" s="20" t="n">
        <v>0.59375</v>
      </c>
      <c r="F14" s="21" t="n">
        <f aca="false">IF(AND(D14&lt;&gt;"", E14&lt;&gt;""), (E14-D14)*1440, "")</f>
        <v>45</v>
      </c>
      <c r="G14" s="6"/>
      <c r="H14" s="22" t="s">
        <v>60</v>
      </c>
    </row>
    <row r="15" customFormat="false" ht="15" hidden="false" customHeight="true" outlineLevel="0" collapsed="false">
      <c r="A15" s="18"/>
      <c r="B15" s="7"/>
      <c r="C15" s="7" t="n">
        <v>4</v>
      </c>
      <c r="D15" s="20" t="n">
        <v>0.625</v>
      </c>
      <c r="E15" s="20" t="n">
        <v>0.65625</v>
      </c>
      <c r="F15" s="21" t="n">
        <f aca="false">IF(AND(D15&lt;&gt;"", E15&lt;&gt;""), (E15-D15)*1440, "")</f>
        <v>45</v>
      </c>
      <c r="G15" s="6"/>
      <c r="H15" s="22" t="s">
        <v>61</v>
      </c>
    </row>
    <row r="16" customFormat="false" ht="15" hidden="false" customHeight="true" outlineLevel="0" collapsed="false">
      <c r="A16" s="18"/>
      <c r="B16" s="7"/>
      <c r="C16" s="7" t="n">
        <v>5</v>
      </c>
      <c r="D16" s="20" t="n">
        <v>0.6875</v>
      </c>
      <c r="E16" s="20" t="n">
        <v>0.708333333333333</v>
      </c>
      <c r="F16" s="21" t="n">
        <f aca="false">IF(AND(D16&lt;&gt;"", E16&lt;&gt;""), (E16-D16)*1440, "")</f>
        <v>30</v>
      </c>
      <c r="G16" s="6"/>
      <c r="H16" s="22" t="s">
        <v>62</v>
      </c>
    </row>
    <row r="17" customFormat="false" ht="15" hidden="false" customHeight="true" outlineLevel="0" collapsed="false">
      <c r="A17" s="18"/>
      <c r="B17" s="7"/>
      <c r="C17" s="7" t="n">
        <v>6</v>
      </c>
      <c r="D17" s="20"/>
      <c r="E17" s="20"/>
      <c r="F17" s="7" t="str">
        <f aca="false">IF(AND(D17&lt;&gt;"", E17&lt;&gt;""), (E17-D17)*1440, "")</f>
        <v/>
      </c>
      <c r="G17" s="6"/>
      <c r="H17" s="22"/>
    </row>
    <row r="18" customFormat="false" ht="15" hidden="false" customHeight="true" outlineLevel="0" collapsed="false">
      <c r="A18" s="18"/>
      <c r="B18" s="7"/>
      <c r="C18" s="7" t="n">
        <v>7</v>
      </c>
      <c r="D18" s="20"/>
      <c r="E18" s="20"/>
      <c r="F18" s="7" t="str">
        <f aca="false">IF(AND(D18&lt;&gt;"", E18&lt;&gt;""), (E18-D18)*1440, "")</f>
        <v/>
      </c>
      <c r="G18" s="6"/>
      <c r="H18" s="22"/>
    </row>
    <row r="19" customFormat="false" ht="15" hidden="false" customHeight="true" outlineLevel="0" collapsed="false">
      <c r="A19" s="18"/>
      <c r="B19" s="7"/>
      <c r="C19" s="7" t="n">
        <v>8</v>
      </c>
      <c r="D19" s="20"/>
      <c r="E19" s="20"/>
      <c r="F19" s="7" t="str">
        <f aca="false">IF(AND(D19&lt;&gt;"", E19&lt;&gt;""), (E19-D19)*1440, "")</f>
        <v/>
      </c>
      <c r="G19" s="23" t="n">
        <f aca="false">SUM(F12:F19)</f>
        <v>245</v>
      </c>
      <c r="H19" s="22"/>
    </row>
    <row r="20" customFormat="false" ht="15" hidden="false" customHeight="true" outlineLevel="0" collapsed="false">
      <c r="A20" s="18" t="str">
        <f aca="false">TEXT(B2+2,"M/D/YYYY")</f>
        <v>1/23/2025</v>
      </c>
      <c r="B20" s="19" t="str">
        <f aca="false">TEXT(B2+2,"DDDD")</f>
        <v>Thursday</v>
      </c>
      <c r="C20" s="7" t="n">
        <v>1</v>
      </c>
      <c r="D20" s="20" t="n">
        <v>0.385416666666667</v>
      </c>
      <c r="E20" s="20" t="n">
        <v>0.416666666666667</v>
      </c>
      <c r="F20" s="21" t="n">
        <f aca="false">IF(AND(D20&lt;&gt;"", E20&lt;&gt;""), (E20-D20)*1440, "")</f>
        <v>45</v>
      </c>
      <c r="G20" s="6"/>
      <c r="H20" s="22" t="s">
        <v>63</v>
      </c>
    </row>
    <row r="21" customFormat="false" ht="15" hidden="false" customHeight="true" outlineLevel="0" collapsed="false">
      <c r="A21" s="18"/>
      <c r="B21" s="7"/>
      <c r="C21" s="7" t="n">
        <v>2</v>
      </c>
      <c r="D21" s="20" t="n">
        <v>0.458333333333333</v>
      </c>
      <c r="E21" s="20" t="n">
        <v>0.510416666666667</v>
      </c>
      <c r="F21" s="21" t="n">
        <f aca="false">IF(AND(D21&lt;&gt;"", E21&lt;&gt;""), (E21-D21)*1440, "")</f>
        <v>75</v>
      </c>
      <c r="G21" s="6"/>
      <c r="H21" s="22" t="s">
        <v>64</v>
      </c>
    </row>
    <row r="22" customFormat="false" ht="15" hidden="false" customHeight="true" outlineLevel="0" collapsed="false">
      <c r="A22" s="18"/>
      <c r="B22" s="7"/>
      <c r="C22" s="7" t="n">
        <v>3</v>
      </c>
      <c r="D22" s="20" t="n">
        <v>0.604166666666667</v>
      </c>
      <c r="E22" s="20" t="n">
        <v>0.638888888888889</v>
      </c>
      <c r="F22" s="21" t="n">
        <f aca="false">IF(AND(D22&lt;&gt;"", E22&lt;&gt;""), (E22-D22)*1440, "")</f>
        <v>50</v>
      </c>
      <c r="G22" s="6"/>
      <c r="H22" s="22" t="s">
        <v>65</v>
      </c>
    </row>
    <row r="23" customFormat="false" ht="15" hidden="false" customHeight="true" outlineLevel="0" collapsed="false">
      <c r="A23" s="18"/>
      <c r="B23" s="7"/>
      <c r="C23" s="7" t="n">
        <v>4</v>
      </c>
      <c r="D23" s="20" t="n">
        <v>0.666666666666667</v>
      </c>
      <c r="E23" s="20" t="n">
        <v>0.694444444444444</v>
      </c>
      <c r="F23" s="21" t="n">
        <f aca="false">IF(AND(D23&lt;&gt;"", E23&lt;&gt;""), (E23-D23)*1440, "")</f>
        <v>40</v>
      </c>
      <c r="G23" s="6"/>
      <c r="H23" s="22" t="s">
        <v>66</v>
      </c>
    </row>
    <row r="24" customFormat="false" ht="15" hidden="false" customHeight="true" outlineLevel="0" collapsed="false">
      <c r="A24" s="18"/>
      <c r="B24" s="7"/>
      <c r="C24" s="7" t="n">
        <v>5</v>
      </c>
      <c r="D24" s="20"/>
      <c r="E24" s="20"/>
      <c r="F24" s="7" t="str">
        <f aca="false">IF(AND(D24&lt;&gt;"", E24&lt;&gt;""), (E24-D24)*1440, "")</f>
        <v/>
      </c>
      <c r="G24" s="6"/>
      <c r="H24" s="22"/>
    </row>
    <row r="25" customFormat="false" ht="15" hidden="false" customHeight="true" outlineLevel="0" collapsed="false">
      <c r="A25" s="18"/>
      <c r="B25" s="7"/>
      <c r="C25" s="7" t="n">
        <v>6</v>
      </c>
      <c r="D25" s="20"/>
      <c r="E25" s="20"/>
      <c r="F25" s="7" t="str">
        <f aca="false">IF(AND(D25&lt;&gt;"", E25&lt;&gt;""), (E25-D25)*1440, "")</f>
        <v/>
      </c>
      <c r="G25" s="6"/>
      <c r="H25" s="22"/>
    </row>
    <row r="26" customFormat="false" ht="15" hidden="false" customHeight="true" outlineLevel="0" collapsed="false">
      <c r="A26" s="18"/>
      <c r="B26" s="7"/>
      <c r="C26" s="7" t="n">
        <v>7</v>
      </c>
      <c r="D26" s="20"/>
      <c r="E26" s="20"/>
      <c r="F26" s="7" t="str">
        <f aca="false">IF(AND(D26&lt;&gt;"", E26&lt;&gt;""), (E26-D26)*1440, "")</f>
        <v/>
      </c>
      <c r="G26" s="6"/>
      <c r="H26" s="22"/>
    </row>
    <row r="27" customFormat="false" ht="15" hidden="false" customHeight="true" outlineLevel="0" collapsed="false">
      <c r="A27" s="18"/>
      <c r="B27" s="7"/>
      <c r="C27" s="7" t="n">
        <v>8</v>
      </c>
      <c r="D27" s="20"/>
      <c r="E27" s="20"/>
      <c r="F27" s="7" t="str">
        <f aca="false">IF(AND(D27&lt;&gt;"", E27&lt;&gt;""), (E27-D27)*1440, "")</f>
        <v/>
      </c>
      <c r="G27" s="23" t="n">
        <f aca="false">SUM(F20:F27)</f>
        <v>210</v>
      </c>
      <c r="H27" s="22"/>
    </row>
    <row r="28" customFormat="false" ht="15" hidden="false" customHeight="true" outlineLevel="0" collapsed="false">
      <c r="A28" s="18" t="str">
        <f aca="false">TEXT(B2+3,"M/D/YYYY")</f>
        <v>1/24/2025</v>
      </c>
      <c r="B28" s="19" t="str">
        <f aca="false">TEXT(B2+3,"DDDD")</f>
        <v>Friday</v>
      </c>
      <c r="C28" s="7" t="n">
        <v>1</v>
      </c>
      <c r="D28" s="20" t="n">
        <v>0.375</v>
      </c>
      <c r="E28" s="20" t="n">
        <v>0.4375</v>
      </c>
      <c r="F28" s="21" t="n">
        <f aca="false">IF(AND(D28&lt;&gt;"", E28&lt;&gt;""), (E28-D28)*1440, "")</f>
        <v>90</v>
      </c>
      <c r="G28" s="6"/>
      <c r="H28" s="22" t="s">
        <v>67</v>
      </c>
    </row>
    <row r="29" customFormat="false" ht="15" hidden="false" customHeight="true" outlineLevel="0" collapsed="false">
      <c r="A29" s="18"/>
      <c r="B29" s="7"/>
      <c r="C29" s="7" t="n">
        <v>2</v>
      </c>
      <c r="D29" s="20" t="n">
        <v>0.46875</v>
      </c>
      <c r="E29" s="20" t="n">
        <v>0.5</v>
      </c>
      <c r="F29" s="21" t="n">
        <f aca="false">IF(AND(D29&lt;&gt;"", E29&lt;&gt;""), (E29-D29)*1440, "")</f>
        <v>45</v>
      </c>
      <c r="G29" s="6"/>
      <c r="H29" s="22" t="s">
        <v>68</v>
      </c>
    </row>
    <row r="30" customFormat="false" ht="15" hidden="false" customHeight="true" outlineLevel="0" collapsed="false">
      <c r="A30" s="18"/>
      <c r="B30" s="7"/>
      <c r="C30" s="7" t="n">
        <v>3</v>
      </c>
      <c r="D30" s="20" t="n">
        <v>0.572916666666667</v>
      </c>
      <c r="E30" s="20" t="n">
        <v>0.604166666666667</v>
      </c>
      <c r="F30" s="21" t="n">
        <f aca="false">IF(AND(D30&lt;&gt;"", E30&lt;&gt;""), (E30-D30)*1440, "")</f>
        <v>45</v>
      </c>
      <c r="G30" s="6"/>
      <c r="H30" s="22" t="s">
        <v>69</v>
      </c>
    </row>
    <row r="31" customFormat="false" ht="15" hidden="false" customHeight="true" outlineLevel="0" collapsed="false">
      <c r="A31" s="18"/>
      <c r="B31" s="7"/>
      <c r="C31" s="7" t="n">
        <v>4</v>
      </c>
      <c r="D31" s="20"/>
      <c r="E31" s="20"/>
      <c r="F31" s="7" t="str">
        <f aca="false">IF(AND(D31&lt;&gt;"", E31&lt;&gt;""), (E31-D31)*1440, "")</f>
        <v/>
      </c>
      <c r="G31" s="6"/>
      <c r="H31" s="22"/>
    </row>
    <row r="32" customFormat="false" ht="15" hidden="false" customHeight="true" outlineLevel="0" collapsed="false">
      <c r="A32" s="18"/>
      <c r="B32" s="7"/>
      <c r="C32" s="7" t="n">
        <v>5</v>
      </c>
      <c r="D32" s="20"/>
      <c r="E32" s="20"/>
      <c r="F32" s="7" t="str">
        <f aca="false">IF(AND(D32&lt;&gt;"", E32&lt;&gt;""), (E32-D32)*1440, "")</f>
        <v/>
      </c>
      <c r="G32" s="6"/>
      <c r="H32" s="22"/>
    </row>
    <row r="33" customFormat="false" ht="15" hidden="false" customHeight="true" outlineLevel="0" collapsed="false">
      <c r="A33" s="18"/>
      <c r="B33" s="7"/>
      <c r="C33" s="7" t="n">
        <v>6</v>
      </c>
      <c r="D33" s="20"/>
      <c r="E33" s="20"/>
      <c r="F33" s="7" t="str">
        <f aca="false">IF(AND(D33&lt;&gt;"", E33&lt;&gt;""), (E33-D33)*1440, "")</f>
        <v/>
      </c>
      <c r="G33" s="6"/>
      <c r="H33" s="22"/>
    </row>
    <row r="34" customFormat="false" ht="15" hidden="false" customHeight="true" outlineLevel="0" collapsed="false">
      <c r="A34" s="18"/>
      <c r="B34" s="7"/>
      <c r="C34" s="7" t="n">
        <v>7</v>
      </c>
      <c r="D34" s="20"/>
      <c r="E34" s="20"/>
      <c r="F34" s="7" t="str">
        <f aca="false">IF(AND(D34&lt;&gt;"", E34&lt;&gt;""), (E34-D34)*1440, "")</f>
        <v/>
      </c>
      <c r="G34" s="6"/>
      <c r="H34" s="22"/>
    </row>
    <row r="35" customFormat="false" ht="15" hidden="false" customHeight="true" outlineLevel="0" collapsed="false">
      <c r="A35" s="18"/>
      <c r="B35" s="7"/>
      <c r="C35" s="7" t="n">
        <v>8</v>
      </c>
      <c r="D35" s="20"/>
      <c r="E35" s="20"/>
      <c r="F35" s="7" t="str">
        <f aca="false">IF(AND(D35&lt;&gt;"", E35&lt;&gt;""), (E35-D35)*1440, "")</f>
        <v/>
      </c>
      <c r="G35" s="23" t="n">
        <f aca="false">SUM(F28:F35)</f>
        <v>180</v>
      </c>
      <c r="H35" s="22"/>
    </row>
    <row r="36" customFormat="false" ht="15" hidden="false" customHeight="true" outlineLevel="0" collapsed="false">
      <c r="A36" s="18" t="str">
        <f aca="false">TEXT(B2+4,"M/D/YYYY")</f>
        <v>1/25/2025</v>
      </c>
      <c r="B36" s="19" t="str">
        <f aca="false">TEXT(B2+4,"DDDD")</f>
        <v>Saturday</v>
      </c>
      <c r="C36" s="7" t="n">
        <v>1</v>
      </c>
      <c r="D36" s="20" t="n">
        <v>0.395833333333333</v>
      </c>
      <c r="E36" s="20" t="n">
        <v>0.427083333333333</v>
      </c>
      <c r="F36" s="21" t="n">
        <f aca="false">IF(AND(D36&lt;&gt;"", E36&lt;&gt;""), (E36-D36)*1440, "")</f>
        <v>45</v>
      </c>
      <c r="G36" s="6"/>
      <c r="H36" s="22" t="s">
        <v>70</v>
      </c>
    </row>
    <row r="37" customFormat="false" ht="15" hidden="false" customHeight="true" outlineLevel="0" collapsed="false">
      <c r="A37" s="18"/>
      <c r="B37" s="7"/>
      <c r="C37" s="7" t="n">
        <v>2</v>
      </c>
      <c r="D37" s="20" t="n">
        <v>0.458333333333333</v>
      </c>
      <c r="E37" s="20" t="n">
        <v>0.493055555555556</v>
      </c>
      <c r="F37" s="21" t="n">
        <f aca="false">IF(AND(D37&lt;&gt;"", E37&lt;&gt;""), (E37-D37)*1440, "")</f>
        <v>50</v>
      </c>
      <c r="G37" s="6"/>
      <c r="H37" s="22" t="s">
        <v>71</v>
      </c>
    </row>
    <row r="38" customFormat="false" ht="15" hidden="false" customHeight="true" outlineLevel="0" collapsed="false">
      <c r="A38" s="18"/>
      <c r="B38" s="7"/>
      <c r="C38" s="7" t="n">
        <v>3</v>
      </c>
      <c r="D38" s="20" t="n">
        <v>0.583333333333333</v>
      </c>
      <c r="E38" s="20" t="n">
        <v>0.607638888888889</v>
      </c>
      <c r="F38" s="21" t="n">
        <f aca="false">IF(AND(D38&lt;&gt;"", E38&lt;&gt;""), (E38-D38)*1440, "")</f>
        <v>35</v>
      </c>
      <c r="G38" s="6"/>
      <c r="H38" s="22" t="s">
        <v>72</v>
      </c>
    </row>
    <row r="39" customFormat="false" ht="15" hidden="false" customHeight="true" outlineLevel="0" collapsed="false">
      <c r="A39" s="18"/>
      <c r="B39" s="7"/>
      <c r="C39" s="7" t="n">
        <v>4</v>
      </c>
      <c r="D39" s="20"/>
      <c r="E39" s="20"/>
      <c r="F39" s="7" t="str">
        <f aca="false">IF(AND(D39&lt;&gt;"", E39&lt;&gt;""), (E39-D39)*1440, "")</f>
        <v/>
      </c>
      <c r="G39" s="6"/>
      <c r="H39" s="22"/>
    </row>
    <row r="40" customFormat="false" ht="15" hidden="false" customHeight="true" outlineLevel="0" collapsed="false">
      <c r="A40" s="18"/>
      <c r="B40" s="7"/>
      <c r="C40" s="7" t="n">
        <v>5</v>
      </c>
      <c r="D40" s="20"/>
      <c r="E40" s="20"/>
      <c r="F40" s="7" t="str">
        <f aca="false">IF(AND(D40&lt;&gt;"", E40&lt;&gt;""), (E40-D40)*1440, "")</f>
        <v/>
      </c>
      <c r="G40" s="6"/>
      <c r="H40" s="22"/>
    </row>
    <row r="41" customFormat="false" ht="15" hidden="false" customHeight="true" outlineLevel="0" collapsed="false">
      <c r="A41" s="18"/>
      <c r="B41" s="7"/>
      <c r="C41" s="7" t="n">
        <v>6</v>
      </c>
      <c r="D41" s="20"/>
      <c r="E41" s="20"/>
      <c r="F41" s="7" t="str">
        <f aca="false">IF(AND(D41&lt;&gt;"", E41&lt;&gt;""), (E41-D41)*1440, "")</f>
        <v/>
      </c>
      <c r="G41" s="6"/>
      <c r="H41" s="22"/>
    </row>
    <row r="42" customFormat="false" ht="15" hidden="false" customHeight="true" outlineLevel="0" collapsed="false">
      <c r="A42" s="18"/>
      <c r="B42" s="7"/>
      <c r="C42" s="7" t="n">
        <v>7</v>
      </c>
      <c r="D42" s="20"/>
      <c r="E42" s="20"/>
      <c r="F42" s="7" t="str">
        <f aca="false">IF(AND(D42&lt;&gt;"", E42&lt;&gt;""), (E42-D42)*1440, "")</f>
        <v/>
      </c>
      <c r="G42" s="6"/>
      <c r="H42" s="22"/>
    </row>
    <row r="43" customFormat="false" ht="15" hidden="false" customHeight="true" outlineLevel="0" collapsed="false">
      <c r="A43" s="18"/>
      <c r="B43" s="7"/>
      <c r="C43" s="7" t="n">
        <v>8</v>
      </c>
      <c r="D43" s="20"/>
      <c r="E43" s="20"/>
      <c r="F43" s="7" t="str">
        <f aca="false">IF(AND(D43&lt;&gt;"", E43&lt;&gt;""), (E43-D43)*1440, "")</f>
        <v/>
      </c>
      <c r="G43" s="23" t="n">
        <f aca="false">SUM(F36:F43)</f>
        <v>130</v>
      </c>
      <c r="H43" s="22"/>
    </row>
    <row r="44" customFormat="false" ht="15" hidden="false" customHeight="true" outlineLevel="0" collapsed="false">
      <c r="A44" s="18" t="str">
        <f aca="false">TEXT(B2+5,"M/D/YYYY")</f>
        <v>1/26/2025</v>
      </c>
      <c r="B44" s="19" t="str">
        <f aca="false">TEXT(B2+5,"DDDD")</f>
        <v>Sunday</v>
      </c>
      <c r="C44" s="7" t="n">
        <v>1</v>
      </c>
      <c r="D44" s="20"/>
      <c r="E44" s="20"/>
      <c r="F44" s="7" t="str">
        <f aca="false">IF(AND(D44&lt;&gt;"", E44&lt;&gt;""), (E44-D44)*1440, "")</f>
        <v/>
      </c>
      <c r="G44" s="6"/>
      <c r="H44" s="22"/>
    </row>
    <row r="45" customFormat="false" ht="15" hidden="false" customHeight="true" outlineLevel="0" collapsed="false">
      <c r="A45" s="18"/>
      <c r="B45" s="7"/>
      <c r="C45" s="7" t="n">
        <v>2</v>
      </c>
      <c r="D45" s="20"/>
      <c r="E45" s="20"/>
      <c r="F45" s="7" t="str">
        <f aca="false">IF(AND(D45&lt;&gt;"", E45&lt;&gt;""), (E45-D45)*1440, "")</f>
        <v/>
      </c>
      <c r="G45" s="6"/>
      <c r="H45" s="22"/>
    </row>
    <row r="46" customFormat="false" ht="15" hidden="false" customHeight="true" outlineLevel="0" collapsed="false">
      <c r="A46" s="18"/>
      <c r="B46" s="7"/>
      <c r="C46" s="7" t="n">
        <v>3</v>
      </c>
      <c r="D46" s="20"/>
      <c r="E46" s="20"/>
      <c r="F46" s="7" t="str">
        <f aca="false">IF(AND(D46&lt;&gt;"", E46&lt;&gt;""), (E46-D46)*1440, "")</f>
        <v/>
      </c>
      <c r="G46" s="6"/>
      <c r="H46" s="22"/>
    </row>
    <row r="47" customFormat="false" ht="15" hidden="false" customHeight="true" outlineLevel="0" collapsed="false">
      <c r="A47" s="18"/>
      <c r="B47" s="7"/>
      <c r="C47" s="7" t="n">
        <v>4</v>
      </c>
      <c r="D47" s="20"/>
      <c r="E47" s="20"/>
      <c r="F47" s="7" t="str">
        <f aca="false">IF(AND(D47&lt;&gt;"", E47&lt;&gt;""), (E47-D47)*1440, "")</f>
        <v/>
      </c>
      <c r="G47" s="6"/>
      <c r="H47" s="22"/>
    </row>
    <row r="48" customFormat="false" ht="15" hidden="false" customHeight="true" outlineLevel="0" collapsed="false">
      <c r="A48" s="18"/>
      <c r="B48" s="7"/>
      <c r="C48" s="7" t="n">
        <v>5</v>
      </c>
      <c r="D48" s="20"/>
      <c r="E48" s="20"/>
      <c r="F48" s="7" t="str">
        <f aca="false">IF(AND(D48&lt;&gt;"", E48&lt;&gt;""), (E48-D48)*1440, "")</f>
        <v/>
      </c>
      <c r="G48" s="6"/>
      <c r="H48" s="22"/>
    </row>
    <row r="49" customFormat="false" ht="15" hidden="false" customHeight="true" outlineLevel="0" collapsed="false">
      <c r="A49" s="18"/>
      <c r="B49" s="7"/>
      <c r="C49" s="7" t="n">
        <v>6</v>
      </c>
      <c r="D49" s="20"/>
      <c r="E49" s="20"/>
      <c r="F49" s="7" t="str">
        <f aca="false">IF(AND(D49&lt;&gt;"", E49&lt;&gt;""), (E49-D49)*1440, "")</f>
        <v/>
      </c>
      <c r="G49" s="6"/>
      <c r="H49" s="22"/>
    </row>
    <row r="50" customFormat="false" ht="15" hidden="false" customHeight="true" outlineLevel="0" collapsed="false">
      <c r="A50" s="18"/>
      <c r="B50" s="7"/>
      <c r="C50" s="7" t="n">
        <v>7</v>
      </c>
      <c r="D50" s="20"/>
      <c r="E50" s="20"/>
      <c r="F50" s="7" t="str">
        <f aca="false">IF(AND(D50&lt;&gt;"", E50&lt;&gt;""), (E50-D50)*1440, "")</f>
        <v/>
      </c>
      <c r="G50" s="6"/>
      <c r="H50" s="22"/>
    </row>
    <row r="51" customFormat="false" ht="15" hidden="false" customHeight="true" outlineLevel="0" collapsed="false">
      <c r="A51" s="18"/>
      <c r="B51" s="7"/>
      <c r="C51" s="7" t="n">
        <v>8</v>
      </c>
      <c r="D51" s="20"/>
      <c r="E51" s="20"/>
      <c r="F51" s="7" t="str">
        <f aca="false">IF(AND(D51&lt;&gt;"", E51&lt;&gt;""), (E51-D51)*1440, "")</f>
        <v/>
      </c>
      <c r="G51" s="23" t="n">
        <f aca="false">SUM(F44:F51)</f>
        <v>0</v>
      </c>
      <c r="H51" s="22"/>
    </row>
    <row r="52" customFormat="false" ht="15" hidden="false" customHeight="true" outlineLevel="0" collapsed="false">
      <c r="A52" s="18" t="str">
        <f aca="false">TEXT(B2+6,"M/D/YYYY")</f>
        <v>1/27/2025</v>
      </c>
      <c r="B52" s="19" t="str">
        <f aca="false">TEXT(B2+6,"DDDD")</f>
        <v>Monday</v>
      </c>
      <c r="C52" s="7" t="n">
        <v>1</v>
      </c>
      <c r="D52" s="20"/>
      <c r="E52" s="20"/>
      <c r="F52" s="7" t="str">
        <f aca="false">IF(AND(D52&lt;&gt;"", E52&lt;&gt;""), (E52-D52)*1440, "")</f>
        <v/>
      </c>
      <c r="G52" s="6"/>
      <c r="H52" s="22"/>
    </row>
    <row r="53" customFormat="false" ht="15" hidden="false" customHeight="true" outlineLevel="0" collapsed="false">
      <c r="A53" s="18"/>
      <c r="B53" s="7"/>
      <c r="C53" s="7" t="n">
        <v>2</v>
      </c>
      <c r="D53" s="20"/>
      <c r="E53" s="20"/>
      <c r="F53" s="7" t="str">
        <f aca="false">IF(AND(D53&lt;&gt;"", E53&lt;&gt;""), (E53-D53)*1440, "")</f>
        <v/>
      </c>
      <c r="G53" s="6"/>
      <c r="H53" s="22"/>
    </row>
    <row r="54" customFormat="false" ht="15" hidden="false" customHeight="true" outlineLevel="0" collapsed="false">
      <c r="A54" s="18"/>
      <c r="B54" s="7"/>
      <c r="C54" s="7" t="n">
        <v>3</v>
      </c>
      <c r="D54" s="20"/>
      <c r="E54" s="20"/>
      <c r="F54" s="7" t="str">
        <f aca="false">IF(AND(D54&lt;&gt;"", E54&lt;&gt;""), (E54-D54)*1440, "")</f>
        <v/>
      </c>
      <c r="G54" s="6"/>
      <c r="H54" s="22"/>
    </row>
    <row r="55" customFormat="false" ht="15" hidden="false" customHeight="true" outlineLevel="0" collapsed="false">
      <c r="A55" s="18"/>
      <c r="B55" s="7"/>
      <c r="C55" s="7" t="n">
        <v>4</v>
      </c>
      <c r="D55" s="20"/>
      <c r="E55" s="20"/>
      <c r="F55" s="7" t="str">
        <f aca="false">IF(AND(D55&lt;&gt;"", E55&lt;&gt;""), (E55-D55)*1440, "")</f>
        <v/>
      </c>
      <c r="G55" s="6"/>
      <c r="H55" s="22"/>
    </row>
    <row r="56" customFormat="false" ht="15" hidden="false" customHeight="true" outlineLevel="0" collapsed="false">
      <c r="A56" s="18"/>
      <c r="B56" s="7"/>
      <c r="C56" s="7" t="n">
        <v>5</v>
      </c>
      <c r="D56" s="20"/>
      <c r="E56" s="20"/>
      <c r="F56" s="7" t="str">
        <f aca="false">IF(AND(D56&lt;&gt;"", E56&lt;&gt;""), (E56-D56)*1440, "")</f>
        <v/>
      </c>
      <c r="G56" s="6"/>
      <c r="H56" s="22"/>
    </row>
    <row r="57" customFormat="false" ht="15" hidden="false" customHeight="true" outlineLevel="0" collapsed="false">
      <c r="A57" s="18"/>
      <c r="B57" s="7"/>
      <c r="C57" s="7" t="n">
        <v>6</v>
      </c>
      <c r="D57" s="20"/>
      <c r="E57" s="20"/>
      <c r="F57" s="7" t="str">
        <f aca="false">IF(AND(D57&lt;&gt;"", E57&lt;&gt;""), (E57-D57)*1440, "")</f>
        <v/>
      </c>
      <c r="G57" s="6"/>
      <c r="H57" s="22"/>
    </row>
    <row r="58" customFormat="false" ht="15" hidden="false" customHeight="true" outlineLevel="0" collapsed="false">
      <c r="A58" s="18"/>
      <c r="B58" s="7"/>
      <c r="C58" s="7" t="n">
        <v>7</v>
      </c>
      <c r="D58" s="20"/>
      <c r="E58" s="20"/>
      <c r="F58" s="7" t="str">
        <f aca="false">IF(AND(D58&lt;&gt;"", E58&lt;&gt;""), (E58-D58)*1440, "")</f>
        <v/>
      </c>
      <c r="G58" s="6"/>
      <c r="H58" s="22"/>
    </row>
    <row r="59" customFormat="false" ht="15" hidden="false" customHeight="true" outlineLevel="0" collapsed="false">
      <c r="A59" s="18"/>
      <c r="B59" s="7"/>
      <c r="C59" s="7" t="n">
        <v>8</v>
      </c>
      <c r="D59" s="20"/>
      <c r="E59" s="20"/>
      <c r="F59" s="7" t="str">
        <f aca="false">IF(AND(D59&lt;&gt;"", E59&lt;&gt;""), (E59-D59)*1440, "")</f>
        <v/>
      </c>
      <c r="G59" s="23" t="n">
        <f aca="false">SUM(F52:F59)</f>
        <v>0</v>
      </c>
      <c r="H59" s="22"/>
    </row>
    <row r="61" customFormat="false" ht="15" hidden="false" customHeight="true" outlineLevel="0" collapsed="false">
      <c r="A61" s="24" t="s">
        <v>73</v>
      </c>
      <c r="B61" s="24"/>
      <c r="C61" s="24"/>
      <c r="D61" s="24"/>
      <c r="E61" s="24"/>
      <c r="F61" s="24"/>
      <c r="G61" s="24"/>
      <c r="H61" s="24"/>
    </row>
    <row r="62" customFormat="false" ht="15" hidden="false" customHeight="true" outlineLevel="0" collapsed="false">
      <c r="A62" s="25" t="s">
        <v>74</v>
      </c>
      <c r="B62" s="26" t="n">
        <f aca="false">G11+G19+G27+G35+G43+G51+G59</f>
        <v>925</v>
      </c>
    </row>
    <row r="63" customFormat="false" ht="15" hidden="false" customHeight="true" outlineLevel="0" collapsed="false">
      <c r="A63" s="25" t="s">
        <v>75</v>
      </c>
      <c r="B63" s="27" t="n">
        <f aca="false">B62/60</f>
        <v>15.4166666666667</v>
      </c>
    </row>
    <row r="64" customFormat="false" ht="15" hidden="false" customHeight="true" outlineLevel="0" collapsed="false">
      <c r="A64" s="25" t="s">
        <v>76</v>
      </c>
      <c r="B64" s="27" t="n">
        <f aca="false">B63/7</f>
        <v>2.20238095238095</v>
      </c>
    </row>
    <row r="65" customFormat="false" ht="15" hidden="false" customHeight="true" outlineLevel="0" collapsed="false">
      <c r="A65" s="28" t="s">
        <v>77</v>
      </c>
    </row>
  </sheetData>
  <mergeCells count="3">
    <mergeCell ref="A1:H1"/>
    <mergeCell ref="C2:H2"/>
    <mergeCell ref="A61:H61"/>
  </mergeCells>
  <conditionalFormatting sqref="G11">
    <cfRule type="cellIs" priority="2" operator="greaterThanOrEqual" aboveAverage="0" equalAverage="0" bottom="0" percent="0" rank="0" text="" dxfId="0">
      <formula>240</formula>
    </cfRule>
    <cfRule type="cellIs" priority="3" operator="between" aboveAverage="0" equalAverage="0" bottom="0" percent="0" rank="0" text="" dxfId="1">
      <formula>120</formula>
      <formula>239</formula>
    </cfRule>
    <cfRule type="cellIs" priority="4" operator="lessThan" aboveAverage="0" equalAverage="0" bottom="0" percent="0" rank="0" text="" dxfId="2">
      <formula>120</formula>
    </cfRule>
  </conditionalFormatting>
  <conditionalFormatting sqref="G19">
    <cfRule type="cellIs" priority="5" operator="greaterThanOrEqual" aboveAverage="0" equalAverage="0" bottom="0" percent="0" rank="0" text="" dxfId="0">
      <formula>240</formula>
    </cfRule>
    <cfRule type="cellIs" priority="6" operator="between" aboveAverage="0" equalAverage="0" bottom="0" percent="0" rank="0" text="" dxfId="1">
      <formula>120</formula>
      <formula>239</formula>
    </cfRule>
    <cfRule type="cellIs" priority="7" operator="lessThan" aboveAverage="0" equalAverage="0" bottom="0" percent="0" rank="0" text="" dxfId="2">
      <formula>120</formula>
    </cfRule>
  </conditionalFormatting>
  <conditionalFormatting sqref="G27">
    <cfRule type="cellIs" priority="8" operator="greaterThanOrEqual" aboveAverage="0" equalAverage="0" bottom="0" percent="0" rank="0" text="" dxfId="0">
      <formula>240</formula>
    </cfRule>
    <cfRule type="cellIs" priority="9" operator="between" aboveAverage="0" equalAverage="0" bottom="0" percent="0" rank="0" text="" dxfId="1">
      <formula>120</formula>
      <formula>239</formula>
    </cfRule>
    <cfRule type="cellIs" priority="10" operator="lessThan" aboveAverage="0" equalAverage="0" bottom="0" percent="0" rank="0" text="" dxfId="2">
      <formula>120</formula>
    </cfRule>
  </conditionalFormatting>
  <conditionalFormatting sqref="G35">
    <cfRule type="cellIs" priority="11" operator="greaterThanOrEqual" aboveAverage="0" equalAverage="0" bottom="0" percent="0" rank="0" text="" dxfId="0">
      <formula>240</formula>
    </cfRule>
    <cfRule type="cellIs" priority="12" operator="between" aboveAverage="0" equalAverage="0" bottom="0" percent="0" rank="0" text="" dxfId="1">
      <formula>120</formula>
      <formula>239</formula>
    </cfRule>
    <cfRule type="cellIs" priority="13" operator="lessThan" aboveAverage="0" equalAverage="0" bottom="0" percent="0" rank="0" text="" dxfId="2">
      <formula>120</formula>
    </cfRule>
  </conditionalFormatting>
  <conditionalFormatting sqref="G43">
    <cfRule type="cellIs" priority="14" operator="greaterThanOrEqual" aboveAverage="0" equalAverage="0" bottom="0" percent="0" rank="0" text="" dxfId="0">
      <formula>240</formula>
    </cfRule>
    <cfRule type="cellIs" priority="15" operator="between" aboveAverage="0" equalAverage="0" bottom="0" percent="0" rank="0" text="" dxfId="1">
      <formula>120</formula>
      <formula>239</formula>
    </cfRule>
    <cfRule type="cellIs" priority="16" operator="lessThan" aboveAverage="0" equalAverage="0" bottom="0" percent="0" rank="0" text="" dxfId="2">
      <formula>120</formula>
    </cfRule>
  </conditionalFormatting>
  <conditionalFormatting sqref="G51">
    <cfRule type="cellIs" priority="17" operator="greaterThanOrEqual" aboveAverage="0" equalAverage="0" bottom="0" percent="0" rank="0" text="" dxfId="0">
      <formula>240</formula>
    </cfRule>
    <cfRule type="cellIs" priority="18" operator="between" aboveAverage="0" equalAverage="0" bottom="0" percent="0" rank="0" text="" dxfId="1">
      <formula>120</formula>
      <formula>239</formula>
    </cfRule>
    <cfRule type="cellIs" priority="19" operator="lessThan" aboveAverage="0" equalAverage="0" bottom="0" percent="0" rank="0" text="" dxfId="2">
      <formula>120</formula>
    </cfRule>
  </conditionalFormatting>
  <conditionalFormatting sqref="G59">
    <cfRule type="cellIs" priority="20" operator="greaterThanOrEqual" aboveAverage="0" equalAverage="0" bottom="0" percent="0" rank="0" text="" dxfId="0">
      <formula>240</formula>
    </cfRule>
    <cfRule type="cellIs" priority="21" operator="between" aboveAverage="0" equalAverage="0" bottom="0" percent="0" rank="0" text="" dxfId="1">
      <formula>120</formula>
      <formula>239</formula>
    </cfRule>
    <cfRule type="cellIs" priority="22" operator="lessThan" aboveAverage="0" equalAverage="0" bottom="0" percent="0" rank="0" text="" dxfId="2">
      <formula>120</formula>
    </cfRule>
  </conditionalFormatting>
  <conditionalFormatting sqref="F4">
    <cfRule type="cellIs" priority="23" operator="greaterThan" aboveAverage="0" equalAverage="0" bottom="0" percent="0" rank="0" text="" dxfId="3">
      <formula>60</formula>
    </cfRule>
  </conditionalFormatting>
  <conditionalFormatting sqref="F5">
    <cfRule type="cellIs" priority="24" operator="greaterThan" aboveAverage="0" equalAverage="0" bottom="0" percent="0" rank="0" text="" dxfId="3">
      <formula>60</formula>
    </cfRule>
  </conditionalFormatting>
  <conditionalFormatting sqref="F6">
    <cfRule type="cellIs" priority="25" operator="greaterThan" aboveAverage="0" equalAverage="0" bottom="0" percent="0" rank="0" text="" dxfId="3">
      <formula>60</formula>
    </cfRule>
  </conditionalFormatting>
  <conditionalFormatting sqref="F7">
    <cfRule type="cellIs" priority="26" operator="greaterThan" aboveAverage="0" equalAverage="0" bottom="0" percent="0" rank="0" text="" dxfId="3">
      <formula>60</formula>
    </cfRule>
  </conditionalFormatting>
  <conditionalFormatting sqref="F8">
    <cfRule type="cellIs" priority="27" operator="greaterThan" aboveAverage="0" equalAverage="0" bottom="0" percent="0" rank="0" text="" dxfId="3">
      <formula>60</formula>
    </cfRule>
  </conditionalFormatting>
  <conditionalFormatting sqref="F9">
    <cfRule type="cellIs" priority="28" operator="greaterThan" aboveAverage="0" equalAverage="0" bottom="0" percent="0" rank="0" text="" dxfId="3">
      <formula>60</formula>
    </cfRule>
  </conditionalFormatting>
  <conditionalFormatting sqref="F10">
    <cfRule type="cellIs" priority="29" operator="greaterThan" aboveAverage="0" equalAverage="0" bottom="0" percent="0" rank="0" text="" dxfId="3">
      <formula>60</formula>
    </cfRule>
  </conditionalFormatting>
  <conditionalFormatting sqref="F11">
    <cfRule type="cellIs" priority="30" operator="greaterThan" aboveAverage="0" equalAverage="0" bottom="0" percent="0" rank="0" text="" dxfId="3">
      <formula>60</formula>
    </cfRule>
  </conditionalFormatting>
  <conditionalFormatting sqref="F12">
    <cfRule type="cellIs" priority="31" operator="greaterThan" aboveAverage="0" equalAverage="0" bottom="0" percent="0" rank="0" text="" dxfId="3">
      <formula>60</formula>
    </cfRule>
  </conditionalFormatting>
  <conditionalFormatting sqref="F13">
    <cfRule type="cellIs" priority="32" operator="greaterThan" aboveAverage="0" equalAverage="0" bottom="0" percent="0" rank="0" text="" dxfId="3">
      <formula>60</formula>
    </cfRule>
  </conditionalFormatting>
  <conditionalFormatting sqref="F14">
    <cfRule type="cellIs" priority="33" operator="greaterThan" aboveAverage="0" equalAverage="0" bottom="0" percent="0" rank="0" text="" dxfId="3">
      <formula>60</formula>
    </cfRule>
  </conditionalFormatting>
  <conditionalFormatting sqref="F15">
    <cfRule type="cellIs" priority="34" operator="greaterThan" aboveAverage="0" equalAverage="0" bottom="0" percent="0" rank="0" text="" dxfId="3">
      <formula>60</formula>
    </cfRule>
  </conditionalFormatting>
  <conditionalFormatting sqref="F16">
    <cfRule type="cellIs" priority="35" operator="greaterThan" aboveAverage="0" equalAverage="0" bottom="0" percent="0" rank="0" text="" dxfId="3">
      <formula>60</formula>
    </cfRule>
  </conditionalFormatting>
  <conditionalFormatting sqref="F17">
    <cfRule type="cellIs" priority="36" operator="greaterThan" aboveAverage="0" equalAverage="0" bottom="0" percent="0" rank="0" text="" dxfId="3">
      <formula>60</formula>
    </cfRule>
  </conditionalFormatting>
  <conditionalFormatting sqref="F18">
    <cfRule type="cellIs" priority="37" operator="greaterThan" aboveAverage="0" equalAverage="0" bottom="0" percent="0" rank="0" text="" dxfId="3">
      <formula>60</formula>
    </cfRule>
  </conditionalFormatting>
  <conditionalFormatting sqref="F19">
    <cfRule type="cellIs" priority="38" operator="greaterThan" aboveAverage="0" equalAverage="0" bottom="0" percent="0" rank="0" text="" dxfId="3">
      <formula>60</formula>
    </cfRule>
  </conditionalFormatting>
  <conditionalFormatting sqref="F20">
    <cfRule type="cellIs" priority="39" operator="greaterThan" aboveAverage="0" equalAverage="0" bottom="0" percent="0" rank="0" text="" dxfId="3">
      <formula>60</formula>
    </cfRule>
  </conditionalFormatting>
  <conditionalFormatting sqref="F21">
    <cfRule type="cellIs" priority="40" operator="greaterThan" aboveAverage="0" equalAverage="0" bottom="0" percent="0" rank="0" text="" dxfId="3">
      <formula>60</formula>
    </cfRule>
  </conditionalFormatting>
  <conditionalFormatting sqref="F22">
    <cfRule type="cellIs" priority="41" operator="greaterThan" aboveAverage="0" equalAverage="0" bottom="0" percent="0" rank="0" text="" dxfId="3">
      <formula>60</formula>
    </cfRule>
  </conditionalFormatting>
  <conditionalFormatting sqref="F23">
    <cfRule type="cellIs" priority="42" operator="greaterThan" aboveAverage="0" equalAverage="0" bottom="0" percent="0" rank="0" text="" dxfId="3">
      <formula>60</formula>
    </cfRule>
  </conditionalFormatting>
  <conditionalFormatting sqref="F24">
    <cfRule type="cellIs" priority="43" operator="greaterThan" aboveAverage="0" equalAverage="0" bottom="0" percent="0" rank="0" text="" dxfId="3">
      <formula>60</formula>
    </cfRule>
  </conditionalFormatting>
  <conditionalFormatting sqref="F25">
    <cfRule type="cellIs" priority="44" operator="greaterThan" aboveAverage="0" equalAverage="0" bottom="0" percent="0" rank="0" text="" dxfId="3">
      <formula>60</formula>
    </cfRule>
  </conditionalFormatting>
  <conditionalFormatting sqref="F26">
    <cfRule type="cellIs" priority="45" operator="greaterThan" aboveAverage="0" equalAverage="0" bottom="0" percent="0" rank="0" text="" dxfId="3">
      <formula>60</formula>
    </cfRule>
  </conditionalFormatting>
  <conditionalFormatting sqref="F27">
    <cfRule type="cellIs" priority="46" operator="greaterThan" aboveAverage="0" equalAverage="0" bottom="0" percent="0" rank="0" text="" dxfId="3">
      <formula>60</formula>
    </cfRule>
  </conditionalFormatting>
  <conditionalFormatting sqref="F28">
    <cfRule type="cellIs" priority="47" operator="greaterThan" aboveAverage="0" equalAverage="0" bottom="0" percent="0" rank="0" text="" dxfId="3">
      <formula>60</formula>
    </cfRule>
  </conditionalFormatting>
  <conditionalFormatting sqref="F29">
    <cfRule type="cellIs" priority="48" operator="greaterThan" aboveAverage="0" equalAverage="0" bottom="0" percent="0" rank="0" text="" dxfId="3">
      <formula>60</formula>
    </cfRule>
  </conditionalFormatting>
  <conditionalFormatting sqref="F30">
    <cfRule type="cellIs" priority="49" operator="greaterThan" aboveAverage="0" equalAverage="0" bottom="0" percent="0" rank="0" text="" dxfId="3">
      <formula>60</formula>
    </cfRule>
  </conditionalFormatting>
  <conditionalFormatting sqref="F31">
    <cfRule type="cellIs" priority="50" operator="greaterThan" aboveAverage="0" equalAverage="0" bottom="0" percent="0" rank="0" text="" dxfId="3">
      <formula>60</formula>
    </cfRule>
  </conditionalFormatting>
  <conditionalFormatting sqref="F32">
    <cfRule type="cellIs" priority="51" operator="greaterThan" aboveAverage="0" equalAverage="0" bottom="0" percent="0" rank="0" text="" dxfId="3">
      <formula>60</formula>
    </cfRule>
  </conditionalFormatting>
  <conditionalFormatting sqref="F33">
    <cfRule type="cellIs" priority="52" operator="greaterThan" aboveAverage="0" equalAverage="0" bottom="0" percent="0" rank="0" text="" dxfId="3">
      <formula>60</formula>
    </cfRule>
  </conditionalFormatting>
  <conditionalFormatting sqref="F34">
    <cfRule type="cellIs" priority="53" operator="greaterThan" aboveAverage="0" equalAverage="0" bottom="0" percent="0" rank="0" text="" dxfId="3">
      <formula>60</formula>
    </cfRule>
  </conditionalFormatting>
  <conditionalFormatting sqref="F35">
    <cfRule type="cellIs" priority="54" operator="greaterThan" aboveAverage="0" equalAverage="0" bottom="0" percent="0" rank="0" text="" dxfId="3">
      <formula>60</formula>
    </cfRule>
  </conditionalFormatting>
  <conditionalFormatting sqref="F36">
    <cfRule type="cellIs" priority="55" operator="greaterThan" aboveAverage="0" equalAverage="0" bottom="0" percent="0" rank="0" text="" dxfId="3">
      <formula>60</formula>
    </cfRule>
  </conditionalFormatting>
  <conditionalFormatting sqref="F37">
    <cfRule type="cellIs" priority="56" operator="greaterThan" aboveAverage="0" equalAverage="0" bottom="0" percent="0" rank="0" text="" dxfId="3">
      <formula>60</formula>
    </cfRule>
  </conditionalFormatting>
  <conditionalFormatting sqref="F38">
    <cfRule type="cellIs" priority="57" operator="greaterThan" aboveAverage="0" equalAverage="0" bottom="0" percent="0" rank="0" text="" dxfId="3">
      <formula>60</formula>
    </cfRule>
  </conditionalFormatting>
  <conditionalFormatting sqref="F39">
    <cfRule type="cellIs" priority="58" operator="greaterThan" aboveAverage="0" equalAverage="0" bottom="0" percent="0" rank="0" text="" dxfId="3">
      <formula>60</formula>
    </cfRule>
  </conditionalFormatting>
  <conditionalFormatting sqref="F40">
    <cfRule type="cellIs" priority="59" operator="greaterThan" aboveAverage="0" equalAverage="0" bottom="0" percent="0" rank="0" text="" dxfId="3">
      <formula>60</formula>
    </cfRule>
  </conditionalFormatting>
  <conditionalFormatting sqref="F41">
    <cfRule type="cellIs" priority="60" operator="greaterThan" aboveAverage="0" equalAverage="0" bottom="0" percent="0" rank="0" text="" dxfId="3">
      <formula>60</formula>
    </cfRule>
  </conditionalFormatting>
  <conditionalFormatting sqref="F42">
    <cfRule type="cellIs" priority="61" operator="greaterThan" aboveAverage="0" equalAverage="0" bottom="0" percent="0" rank="0" text="" dxfId="3">
      <formula>60</formula>
    </cfRule>
  </conditionalFormatting>
  <conditionalFormatting sqref="F43">
    <cfRule type="cellIs" priority="62" operator="greaterThan" aboveAverage="0" equalAverage="0" bottom="0" percent="0" rank="0" text="" dxfId="3">
      <formula>60</formula>
    </cfRule>
  </conditionalFormatting>
  <conditionalFormatting sqref="F44">
    <cfRule type="cellIs" priority="63" operator="greaterThan" aboveAverage="0" equalAverage="0" bottom="0" percent="0" rank="0" text="" dxfId="3">
      <formula>60</formula>
    </cfRule>
  </conditionalFormatting>
  <conditionalFormatting sqref="F45">
    <cfRule type="cellIs" priority="64" operator="greaterThan" aboveAverage="0" equalAverage="0" bottom="0" percent="0" rank="0" text="" dxfId="3">
      <formula>60</formula>
    </cfRule>
  </conditionalFormatting>
  <conditionalFormatting sqref="F46">
    <cfRule type="cellIs" priority="65" operator="greaterThan" aboveAverage="0" equalAverage="0" bottom="0" percent="0" rank="0" text="" dxfId="3">
      <formula>60</formula>
    </cfRule>
  </conditionalFormatting>
  <conditionalFormatting sqref="F47">
    <cfRule type="cellIs" priority="66" operator="greaterThan" aboveAverage="0" equalAverage="0" bottom="0" percent="0" rank="0" text="" dxfId="3">
      <formula>60</formula>
    </cfRule>
  </conditionalFormatting>
  <conditionalFormatting sqref="F48">
    <cfRule type="cellIs" priority="67" operator="greaterThan" aboveAverage="0" equalAverage="0" bottom="0" percent="0" rank="0" text="" dxfId="3">
      <formula>60</formula>
    </cfRule>
  </conditionalFormatting>
  <conditionalFormatting sqref="F49">
    <cfRule type="cellIs" priority="68" operator="greaterThan" aboveAverage="0" equalAverage="0" bottom="0" percent="0" rank="0" text="" dxfId="3">
      <formula>60</formula>
    </cfRule>
  </conditionalFormatting>
  <conditionalFormatting sqref="F50">
    <cfRule type="cellIs" priority="69" operator="greaterThan" aboveAverage="0" equalAverage="0" bottom="0" percent="0" rank="0" text="" dxfId="3">
      <formula>60</formula>
    </cfRule>
  </conditionalFormatting>
  <conditionalFormatting sqref="F51">
    <cfRule type="cellIs" priority="70" operator="greaterThan" aboveAverage="0" equalAverage="0" bottom="0" percent="0" rank="0" text="" dxfId="3">
      <formula>60</formula>
    </cfRule>
  </conditionalFormatting>
  <conditionalFormatting sqref="F52">
    <cfRule type="cellIs" priority="71" operator="greaterThan" aboveAverage="0" equalAverage="0" bottom="0" percent="0" rank="0" text="" dxfId="3">
      <formula>60</formula>
    </cfRule>
  </conditionalFormatting>
  <conditionalFormatting sqref="F53">
    <cfRule type="cellIs" priority="72" operator="greaterThan" aboveAverage="0" equalAverage="0" bottom="0" percent="0" rank="0" text="" dxfId="3">
      <formula>60</formula>
    </cfRule>
  </conditionalFormatting>
  <conditionalFormatting sqref="F54">
    <cfRule type="cellIs" priority="73" operator="greaterThan" aboveAverage="0" equalAverage="0" bottom="0" percent="0" rank="0" text="" dxfId="3">
      <formula>60</formula>
    </cfRule>
  </conditionalFormatting>
  <conditionalFormatting sqref="F55">
    <cfRule type="cellIs" priority="74" operator="greaterThan" aboveAverage="0" equalAverage="0" bottom="0" percent="0" rank="0" text="" dxfId="3">
      <formula>60</formula>
    </cfRule>
  </conditionalFormatting>
  <conditionalFormatting sqref="F56">
    <cfRule type="cellIs" priority="75" operator="greaterThan" aboveAverage="0" equalAverage="0" bottom="0" percent="0" rank="0" text="" dxfId="3">
      <formula>60</formula>
    </cfRule>
  </conditionalFormatting>
  <conditionalFormatting sqref="F57">
    <cfRule type="cellIs" priority="76" operator="greaterThan" aboveAverage="0" equalAverage="0" bottom="0" percent="0" rank="0" text="" dxfId="3">
      <formula>60</formula>
    </cfRule>
  </conditionalFormatting>
  <conditionalFormatting sqref="F58">
    <cfRule type="cellIs" priority="77" operator="greaterThan" aboveAverage="0" equalAverage="0" bottom="0" percent="0" rank="0" text="" dxfId="3">
      <formula>60</formula>
    </cfRule>
  </conditionalFormatting>
  <conditionalFormatting sqref="F59">
    <cfRule type="cellIs" priority="78" operator="greaterThan" aboveAverage="0" equalAverage="0" bottom="0" percent="0" rank="0" text="" dxfId="3">
      <formula>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5"/>
  </cols>
  <sheetData>
    <row r="1" customFormat="false" ht="17.25" hidden="false" customHeight="true" outlineLevel="0" collapsed="false">
      <c r="A1" s="29" t="s">
        <v>78</v>
      </c>
    </row>
    <row r="3" customFormat="false" ht="15" hidden="false" customHeight="true" outlineLevel="0" collapsed="false">
      <c r="A3" s="1" t="s">
        <v>79</v>
      </c>
    </row>
    <row r="4" customFormat="false" ht="15" hidden="false" customHeight="true" outlineLevel="0" collapsed="false">
      <c r="A4" s="1" t="s">
        <v>80</v>
      </c>
    </row>
    <row r="5" customFormat="false" ht="15" hidden="false" customHeight="true" outlineLevel="0" collapsed="false"/>
    <row r="6" customFormat="false" ht="15" hidden="false" customHeight="true" outlineLevel="0" collapsed="false">
      <c r="A6" s="30" t="s">
        <v>81</v>
      </c>
    </row>
    <row r="7" customFormat="false" ht="15" hidden="false" customHeight="true" outlineLevel="0" collapsed="false">
      <c r="A7" s="1" t="s">
        <v>82</v>
      </c>
    </row>
    <row r="8" customFormat="false" ht="15" hidden="false" customHeight="true" outlineLevel="0" collapsed="false">
      <c r="A8" s="1" t="s">
        <v>83</v>
      </c>
    </row>
    <row r="9" customFormat="false" ht="15" hidden="false" customHeight="true" outlineLevel="0" collapsed="false">
      <c r="A9" s="1" t="s">
        <v>84</v>
      </c>
    </row>
    <row r="10" customFormat="false" ht="15" hidden="false" customHeight="true" outlineLevel="0" collapsed="false"/>
    <row r="11" customFormat="false" ht="15" hidden="false" customHeight="true" outlineLevel="0" collapsed="false">
      <c r="A11" s="11" t="s">
        <v>85</v>
      </c>
    </row>
    <row r="12" customFormat="false" ht="15" hidden="false" customHeight="true" outlineLevel="0" collapsed="false">
      <c r="A12" s="1" t="s">
        <v>86</v>
      </c>
    </row>
    <row r="13" customFormat="false" ht="15" hidden="false" customHeight="true" outlineLevel="0" collapsed="false">
      <c r="A13" s="11" t="s">
        <v>87</v>
      </c>
    </row>
    <row r="14" customFormat="false" ht="15" hidden="false" customHeight="true" outlineLevel="0" collapsed="false">
      <c r="A14" s="1" t="s">
        <v>88</v>
      </c>
    </row>
    <row r="15" customFormat="false" ht="15" hidden="false" customHeight="true" outlineLevel="0" collapsed="false">
      <c r="A15" s="1" t="s">
        <v>89</v>
      </c>
    </row>
    <row r="16" customFormat="false" ht="15" hidden="false" customHeight="true" outlineLevel="0" collapsed="false">
      <c r="A16" s="1" t="s">
        <v>90</v>
      </c>
    </row>
    <row r="17" customFormat="false" ht="15" hidden="false" customHeight="true" outlineLevel="0" collapsed="false">
      <c r="A17" s="1" t="s">
        <v>91</v>
      </c>
    </row>
    <row r="18" customFormat="false" ht="15" hidden="false" customHeight="true" outlineLevel="0" collapsed="false">
      <c r="A18" s="1" t="s">
        <v>92</v>
      </c>
    </row>
    <row r="20" customFormat="false" ht="15" hidden="false" customHeight="true" outlineLevel="0" collapsed="false">
      <c r="A20" s="11" t="s">
        <v>93</v>
      </c>
    </row>
    <row r="21" customFormat="false" ht="15" hidden="false" customHeight="true" outlineLevel="0" collapsed="false">
      <c r="A21" s="1" t="s">
        <v>94</v>
      </c>
    </row>
    <row r="22" customFormat="false" ht="15" hidden="false" customHeight="true" outlineLevel="0" collapsed="false">
      <c r="A22" s="1" t="s">
        <v>95</v>
      </c>
    </row>
    <row r="23" customFormat="false" ht="15" hidden="false" customHeight="true" outlineLevel="0" collapsed="false">
      <c r="A23" s="1" t="s">
        <v>96</v>
      </c>
    </row>
    <row r="24" customFormat="false" ht="15" hidden="false" customHeight="true" outlineLevel="0" collapsed="false">
      <c r="A24" s="1" t="s">
        <v>97</v>
      </c>
    </row>
    <row r="25" customFormat="false" ht="15" hidden="false" customHeight="true" outlineLevel="0" collapsed="false">
      <c r="A25" s="1" t="s">
        <v>98</v>
      </c>
    </row>
    <row r="28" customFormat="false" ht="15" hidden="false" customHeight="true" outlineLevel="0" collapsed="false">
      <c r="A28" s="8" t="s">
        <v>99</v>
      </c>
    </row>
    <row r="29" customFormat="false" ht="15" hidden="false" customHeight="true" outlineLevel="0" collapsed="false">
      <c r="A29" s="11" t="s">
        <v>100</v>
      </c>
    </row>
    <row r="30" customFormat="false" ht="15" hidden="false" customHeight="true" outlineLevel="0" collapsed="false">
      <c r="A30" s="1" t="s">
        <v>101</v>
      </c>
    </row>
    <row r="31" customFormat="false" ht="15" hidden="false" customHeight="true" outlineLevel="0" collapsed="false">
      <c r="A31" s="1" t="s">
        <v>102</v>
      </c>
    </row>
    <row r="32" customFormat="false" ht="15" hidden="false" customHeight="true" outlineLevel="0" collapsed="false">
      <c r="A32" s="1" t="s">
        <v>103</v>
      </c>
    </row>
    <row r="33" customFormat="false" ht="15" hidden="false" customHeight="true" outlineLevel="0" collapsed="false">
      <c r="A33" s="1" t="s">
        <v>104</v>
      </c>
    </row>
    <row r="35" customFormat="false" ht="15" hidden="false" customHeight="true" outlineLevel="0" collapsed="false">
      <c r="A35" s="11" t="s">
        <v>105</v>
      </c>
    </row>
    <row r="36" customFormat="false" ht="15" hidden="false" customHeight="true" outlineLevel="0" collapsed="false">
      <c r="A36" s="1" t="s">
        <v>106</v>
      </c>
    </row>
    <row r="37" customFormat="false" ht="15" hidden="false" customHeight="true" outlineLevel="0" collapsed="false">
      <c r="A37" s="1" t="s">
        <v>107</v>
      </c>
    </row>
    <row r="38" customFormat="false" ht="15" hidden="false" customHeight="true" outlineLevel="0" collapsed="false">
      <c r="A38" s="1" t="s">
        <v>108</v>
      </c>
    </row>
    <row r="39" customFormat="false" ht="15" hidden="false" customHeight="true" outlineLevel="0" collapsed="false">
      <c r="A39" s="1" t="s">
        <v>109</v>
      </c>
    </row>
    <row r="41" customFormat="false" ht="15" hidden="false" customHeight="true" outlineLevel="0" collapsed="false">
      <c r="A41" s="13" t="s">
        <v>110</v>
      </c>
    </row>
    <row r="43" customFormat="false" ht="15" hidden="false" customHeight="true" outlineLevel="0" collapsed="false">
      <c r="A43" s="8" t="s">
        <v>111</v>
      </c>
    </row>
    <row r="44" customFormat="false" ht="15" hidden="false" customHeight="true" outlineLevel="0" collapsed="false">
      <c r="A44" s="1" t="s">
        <v>112</v>
      </c>
    </row>
    <row r="45" customFormat="false" ht="15" hidden="false" customHeight="true" outlineLevel="0" collapsed="false">
      <c r="A45" s="1" t="s">
        <v>113</v>
      </c>
    </row>
    <row r="46" customFormat="false" ht="15" hidden="false" customHeight="true" outlineLevel="0" collapsed="false">
      <c r="A46" s="1" t="s">
        <v>114</v>
      </c>
    </row>
    <row r="47" customFormat="false" ht="15" hidden="false" customHeight="true" outlineLevel="0" collapsed="false">
      <c r="A47" s="1" t="s">
        <v>115</v>
      </c>
    </row>
    <row r="48" customFormat="false" ht="15" hidden="false" customHeight="true" outlineLevel="0" collapsed="false">
      <c r="A48" s="1" t="s">
        <v>116</v>
      </c>
    </row>
    <row r="50" customFormat="false" ht="15" hidden="false" customHeight="true" outlineLevel="0" collapsed="false">
      <c r="A50" s="31" t="s">
        <v>117</v>
      </c>
    </row>
    <row r="51" customFormat="false" ht="15" hidden="false" customHeight="true" outlineLevel="0" collapsed="false">
      <c r="A51" s="32" t="s">
        <v>118</v>
      </c>
    </row>
    <row r="52" customFormat="false" ht="15" hidden="false" customHeight="true" outlineLevel="0" collapsed="false">
      <c r="A52" s="3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2026-01-21T15:15:09Z</dcterms:created>
  <dc:creator>openpyxl</dc:creator>
  <dc:description/>
  <dc:language>en-US</dc:language>
  <cp:lastModifiedBy/>
  <dcterms:modified xsi:type="dcterms:W3CDTF">2026-01-21T16:15:32Z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