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arl\Desktop\standing_tracker\"/>
    </mc:Choice>
  </mc:AlternateContent>
  <xr:revisionPtr revIDLastSave="0" documentId="13_ncr:1_{40D3E098-DF96-418F-84F0-78BF80E4F667}" xr6:coauthVersionLast="47" xr6:coauthVersionMax="47" xr10:uidLastSave="{00000000-0000-0000-0000-000000000000}"/>
  <bookViews>
    <workbookView xWindow="27945" yWindow="240" windowWidth="26490" windowHeight="20505" tabRatio="500" xr2:uid="{00000000-000D-0000-FFFF-FFFF00000000}"/>
  </bookViews>
  <sheets>
    <sheet name="Master Tracking" sheetId="1" r:id="rId1"/>
    <sheet name="Standing Tracker" sheetId="2" r:id="rId2"/>
    <sheet name="Instru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59" i="2" l="1"/>
  <c r="F58" i="2"/>
  <c r="F57" i="2"/>
  <c r="F56" i="2"/>
  <c r="F55" i="2"/>
  <c r="F54" i="2"/>
  <c r="F53" i="2"/>
  <c r="F52" i="2"/>
  <c r="G59" i="2" s="1"/>
  <c r="B52" i="2"/>
  <c r="A52" i="2"/>
  <c r="F51" i="2"/>
  <c r="F50" i="2"/>
  <c r="F49" i="2"/>
  <c r="F48" i="2"/>
  <c r="F47" i="2"/>
  <c r="F46" i="2"/>
  <c r="F45" i="2"/>
  <c r="F44" i="2"/>
  <c r="G51" i="2" s="1"/>
  <c r="B44" i="2"/>
  <c r="A44" i="2"/>
  <c r="F43" i="2"/>
  <c r="F42" i="2"/>
  <c r="F41" i="2"/>
  <c r="F40" i="2"/>
  <c r="F39" i="2"/>
  <c r="F38" i="2"/>
  <c r="G43" i="2" s="1"/>
  <c r="F37" i="2"/>
  <c r="F36" i="2"/>
  <c r="B36" i="2"/>
  <c r="A36" i="2"/>
  <c r="F35" i="2"/>
  <c r="F34" i="2"/>
  <c r="F33" i="2"/>
  <c r="F32" i="2"/>
  <c r="F31" i="2"/>
  <c r="F30" i="2"/>
  <c r="F29" i="2"/>
  <c r="F28" i="2"/>
  <c r="G35" i="2" s="1"/>
  <c r="B28" i="2"/>
  <c r="A28" i="2"/>
  <c r="F27" i="2"/>
  <c r="F26" i="2"/>
  <c r="G27" i="2" s="1"/>
  <c r="F25" i="2"/>
  <c r="F24" i="2"/>
  <c r="F23" i="2"/>
  <c r="F22" i="2"/>
  <c r="F21" i="2"/>
  <c r="F20" i="2"/>
  <c r="B20" i="2"/>
  <c r="A20" i="2"/>
  <c r="F19" i="2"/>
  <c r="F18" i="2"/>
  <c r="F17" i="2"/>
  <c r="F16" i="2"/>
  <c r="F15" i="2"/>
  <c r="G19" i="2" s="1"/>
  <c r="F14" i="2"/>
  <c r="F13" i="2"/>
  <c r="F12" i="2"/>
  <c r="B12" i="2"/>
  <c r="A12" i="2"/>
  <c r="F11" i="2"/>
  <c r="F10" i="2"/>
  <c r="F9" i="2"/>
  <c r="F8" i="2"/>
  <c r="F7" i="2"/>
  <c r="F6" i="2"/>
  <c r="F5" i="2"/>
  <c r="F4" i="2"/>
  <c r="G11" i="2" s="1"/>
  <c r="B4" i="2"/>
  <c r="A4" i="2"/>
  <c r="C80" i="1"/>
  <c r="C79" i="1"/>
  <c r="C78" i="1"/>
  <c r="C74" i="1"/>
  <c r="C73" i="1"/>
  <c r="C56" i="1"/>
  <c r="C55" i="1"/>
  <c r="C38" i="1"/>
  <c r="C37" i="1"/>
  <c r="C20" i="1"/>
  <c r="C19" i="1"/>
  <c r="B62" i="2" l="1"/>
  <c r="B63" i="2" s="1"/>
  <c r="B64" i="2" s="1"/>
</calcChain>
</file>

<file path=xl/sharedStrings.xml><?xml version="1.0" encoding="utf-8"?>
<sst xmlns="http://schemas.openxmlformats.org/spreadsheetml/2006/main" count="102" uniqueCount="86">
  <si>
    <t>Year-Long Standing Desk Tracker</t>
  </si>
  <si>
    <t>Year: 2026</t>
  </si>
  <si>
    <t>Q1 (Jan-Mar)</t>
  </si>
  <si>
    <t>Week Starting</t>
  </si>
  <si>
    <t>Week Ending</t>
  </si>
  <si>
    <t>Total Hours</t>
  </si>
  <si>
    <t>Daily Avg (hrs)</t>
  </si>
  <si>
    <t>Notes</t>
  </si>
  <si>
    <t>Q1 (Jan-Mar) Total:</t>
  </si>
  <si>
    <t>Q1 (Jan-Mar) Avg/Week:</t>
  </si>
  <si>
    <t>Q2 (Apr-Jun)</t>
  </si>
  <si>
    <t>Q2 (Apr-Jun) Total:</t>
  </si>
  <si>
    <t>Q2 (Apr-Jun) Avg/Week:</t>
  </si>
  <si>
    <t>Q3 (Jul-Sep)</t>
  </si>
  <si>
    <t>Q3 (Jul-Sep) Total:</t>
  </si>
  <si>
    <t>Q3 (Jul-Sep) Avg/Week:</t>
  </si>
  <si>
    <t>Q4 (Oct-Dec)</t>
  </si>
  <si>
    <t>Q4 (Oct-Dec) Total:</t>
  </si>
  <si>
    <t>Q4 (Oct-Dec) Avg/Week:</t>
  </si>
  <si>
    <t>📊 YEARLY SUMMARY</t>
  </si>
  <si>
    <t>Total Standing Hours (Full Year):</t>
  </si>
  <si>
    <t>Average Hours per Week (Full Year):</t>
  </si>
  <si>
    <t>Average Hours per Day (Full Year):</t>
  </si>
  <si>
    <t>How to Use Master Tracking:</t>
  </si>
  <si>
    <t>1. After completing each week in the "Standing Tracker" tab, enter your summary in the appropriate quarter</t>
  </si>
  <si>
    <t>2. Fill in: Week Starting, Week Ending, Total Hours, and Daily Average from your weekly summary</t>
  </si>
  <si>
    <t>3. Quarter summaries automatically calculate totals and averages for each 13-week period</t>
  </si>
  <si>
    <t>4. Yearly summary at the bottom shows your complete annual performance!</t>
  </si>
  <si>
    <t>💡 Tip: Compare quarters to identify seasonal trends in your standing habits!</t>
  </si>
  <si>
    <t>Standing Desk Time Tracker</t>
  </si>
  <si>
    <t>Week Starting:</t>
  </si>
  <si>
    <t>← Enter start date here (format: M/D/YYYY)</t>
  </si>
  <si>
    <t>Date</t>
  </si>
  <si>
    <t>Day</t>
  </si>
  <si>
    <t>Session #</t>
  </si>
  <si>
    <t>Start Time</t>
  </si>
  <si>
    <t>End Time</t>
  </si>
  <si>
    <t>Duration (min)</t>
  </si>
  <si>
    <t>Daily Total (min)</t>
  </si>
  <si>
    <t>Weekly Summary</t>
  </si>
  <si>
    <t>Total Standing Time (min):</t>
  </si>
  <si>
    <t>Total Standing Time (hours):</t>
  </si>
  <si>
    <t>Average per Day (hours):</t>
  </si>
  <si>
    <t>Goal: 4+ hours/day</t>
  </si>
  <si>
    <t>How to Use Your Standing Desk Tracker</t>
  </si>
  <si>
    <t>1. Enter the week starting date in the blue cell (B2) - all dates will update automatically</t>
  </si>
  <si>
    <t>2. Each day has 8 time slots for recording standing sessions</t>
  </si>
  <si>
    <t>TIME ENTRY SHORTCUTS (saves time!):</t>
  </si>
  <si>
    <t xml:space="preserve">   • Windows: Press Ctrl + Shift + ; (semicolon) to insert current time</t>
  </si>
  <si>
    <t xml:space="preserve">   • Mac: Press Cmd + ; (semicolon) to insert current time</t>
  </si>
  <si>
    <t xml:space="preserve">   • Or manually type: 9:30 AM, 2:45 PM, etc.</t>
  </si>
  <si>
    <t>3. Duration will automatically calculate in minutes</t>
  </si>
  <si>
    <t xml:space="preserve">   • Sessions over 60 minutes will highlight in ORANGE (consider taking a sitting break!)</t>
  </si>
  <si>
    <t>4. Daily Total shows at the end of each day with color coding:</t>
  </si>
  <si>
    <t xml:space="preserve">   • GREEN: 4+ hours (240+ min) - Excellent!</t>
  </si>
  <si>
    <t xml:space="preserve">   • YELLOW: 2-4 hours (120-239 min) - Good progress</t>
  </si>
  <si>
    <t xml:space="preserve">   • RED: Under 2 hours (&lt; 120 min) - Room for improvement</t>
  </si>
  <si>
    <t>5. Use the Notes column for tracking how you felt or observations</t>
  </si>
  <si>
    <t>6. Weekly summary shows total and average standing time</t>
  </si>
  <si>
    <t>Health Benefits of Standing:</t>
  </si>
  <si>
    <t>• Reduces lower back pain and improves spinal health</t>
  </si>
  <si>
    <t>• Increases energy and circulation</t>
  </si>
  <si>
    <t>• Burns more calories than sitting</t>
  </si>
  <si>
    <t>• Best practice: Alternate sitting/standing every 30-60 minutes</t>
  </si>
  <si>
    <t>• Avoid standing for more than 60-90 minutes without a break</t>
  </si>
  <si>
    <t>VIEWING &amp; CUSTOMIZING THE SPREADSHEET:</t>
  </si>
  <si>
    <t>To view formulas (see how calculations work):</t>
  </si>
  <si>
    <t xml:space="preserve">   • Windows: Press Ctrl + ~ (tilde key, above Tab)</t>
  </si>
  <si>
    <t xml:space="preserve">   • Mac: Press Ctrl + ~ or Cmd + ~</t>
  </si>
  <si>
    <t xml:space="preserve">   • Press again to return to normal view</t>
  </si>
  <si>
    <t xml:space="preserve">   • Alternative: Formulas tab → Show Formulas button</t>
  </si>
  <si>
    <t>To customize or expand this spreadsheet:</t>
  </si>
  <si>
    <t xml:space="preserve">   • All formulas are visible and editable - feel free to modify!</t>
  </si>
  <si>
    <t xml:space="preserve">   • Copy week structure to add more tracking weeks</t>
  </si>
  <si>
    <t xml:space="preserve">   • Adjust conditional formatting colors in Home → Conditional Formatting</t>
  </si>
  <si>
    <t xml:space="preserve">   • Add charts by selecting data and using Insert → Charts</t>
  </si>
  <si>
    <t>💡 Pro Tip: Click any cell with a formula and check the formula bar at the top to see how it works!</t>
  </si>
  <si>
    <t>WORKFLOW: WEEKLY TRACKING TO MASTER SHEET:</t>
  </si>
  <si>
    <t>1. Each week, use the "Standing Tracker" tab to log your daily standing sessions</t>
  </si>
  <si>
    <t>2. At the end of the week, note your Weekly Summary (total hours and daily average)</t>
  </si>
  <si>
    <t>3. Go to "Master Tracking" tab and MANUALLY enter that week's data in the appropriate quarter</t>
  </si>
  <si>
    <t>4. Update the "Week Starting" date in Standing Tracker for the next week</t>
  </si>
  <si>
    <t>5. Repeat! The Master Tracking builds your year-long history</t>
  </si>
  <si>
    <t>⚠️ Important: Master Tracking does NOT auto-update from Standing Tracker</t>
  </si>
  <si>
    <t>This is by design - it keeps the spreadsheet simple and prevents formula errors.</t>
  </si>
  <si>
    <t>Manual entry takes just 30 seconds per week and gives you full control.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</si>
</sst>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charset val="1"/>
    </font>
    <font>
      <b/>
      <sz val="14"/>
      <name val="Cambria"/>
      <charset val="1"/>
    </font>
    <font>
      <b/>
      <sz val="12"/>
      <name val="Cambria"/>
      <charset val="1"/>
    </font>
    <font>
      <b/>
      <sz val="11"/>
      <color rgb="FFFFFFFF"/>
      <name val="Cambria"/>
      <charset val="1"/>
    </font>
    <font>
      <b/>
      <sz val="10"/>
      <color rgb="FFFFFFFF"/>
      <name val="Cambria"/>
      <charset val="1"/>
    </font>
    <font>
      <b/>
      <sz val="11"/>
      <color rgb="FF1F4E78"/>
      <name val="Cambria"/>
      <charset val="1"/>
    </font>
    <font>
      <b/>
      <sz val="11"/>
      <name val="Cambria"/>
      <charset val="1"/>
    </font>
    <font>
      <b/>
      <sz val="13"/>
      <color rgb="FFFFFFFF"/>
      <name val="Cambria"/>
      <charset val="1"/>
    </font>
    <font>
      <b/>
      <i/>
      <sz val="11"/>
      <color rgb="FF00B050"/>
      <name val="Cambria"/>
      <charset val="1"/>
    </font>
    <font>
      <b/>
      <sz val="11"/>
      <color rgb="FF0000FF"/>
      <name val="Cambria"/>
      <charset val="1"/>
    </font>
    <font>
      <i/>
      <sz val="9"/>
      <name val="Cambria"/>
      <charset val="1"/>
    </font>
    <font>
      <b/>
      <sz val="12"/>
      <color rgb="FFFFFFFF"/>
      <name val="Cambria"/>
      <charset val="1"/>
    </font>
    <font>
      <sz val="11"/>
      <name val="Cambria"/>
      <charset val="1"/>
    </font>
    <font>
      <b/>
      <sz val="11"/>
      <color rgb="FF375623"/>
      <name val="Cambria"/>
      <charset val="1"/>
    </font>
    <font>
      <b/>
      <sz val="11"/>
      <color rgb="FFFF0000"/>
      <name val="Cambria"/>
      <charset val="1"/>
    </font>
    <font>
      <i/>
      <sz val="11"/>
      <name val="Cambria"/>
      <charset val="1"/>
    </font>
  </fonts>
  <fills count="9">
    <fill>
      <patternFill patternType="none"/>
    </fill>
    <fill>
      <patternFill patternType="gray125"/>
    </fill>
    <fill>
      <patternFill patternType="solid">
        <fgColor rgb="FF8EA9DB"/>
        <bgColor rgb="FF969696"/>
      </patternFill>
    </fill>
    <fill>
      <patternFill patternType="solid">
        <fgColor rgb="FF4472C4"/>
        <bgColor rgb="FF44546A"/>
      </patternFill>
    </fill>
    <fill>
      <patternFill patternType="solid">
        <fgColor rgb="FFD9E1F2"/>
        <bgColor rgb="FFE7E6E6"/>
      </patternFill>
    </fill>
    <fill>
      <patternFill patternType="solid">
        <fgColor rgb="FF44546A"/>
        <bgColor rgb="FF1F4E78"/>
      </patternFill>
    </fill>
    <fill>
      <patternFill patternType="solid">
        <fgColor rgb="FFE2EFDA"/>
        <bgColor rgb="FFE7E6E6"/>
      </patternFill>
    </fill>
    <fill>
      <patternFill patternType="solid">
        <fgColor rgb="FFE7E6E6"/>
        <bgColor rgb="FFE2EFDA"/>
      </patternFill>
    </fill>
    <fill>
      <patternFill patternType="solid">
        <fgColor rgb="FFF4F9F0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2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14" fontId="0" fillId="0" borderId="0" xfId="0" applyNumberFormat="1" applyAlignment="1">
      <alignment wrapText="1"/>
    </xf>
    <xf numFmtId="0" fontId="3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5" fillId="0" borderId="0" xfId="0" applyFont="1" applyAlignment="1">
      <alignment wrapText="1"/>
    </xf>
    <xf numFmtId="164" fontId="6" fillId="4" borderId="0" xfId="0" applyNumberFormat="1" applyFont="1" applyFill="1" applyAlignment="1">
      <alignment wrapText="1"/>
    </xf>
    <xf numFmtId="0" fontId="7" fillId="5" borderId="0" xfId="0" applyFont="1" applyFill="1" applyAlignment="1">
      <alignment horizontal="center" vertical="center" wrapText="1"/>
    </xf>
    <xf numFmtId="0" fontId="6" fillId="0" borderId="0" xfId="0" applyFont="1" applyAlignment="1">
      <alignment wrapText="1"/>
    </xf>
    <xf numFmtId="164" fontId="6" fillId="6" borderId="0" xfId="0" applyNumberFormat="1" applyFont="1" applyFill="1" applyAlignment="1">
      <alignment wrapText="1"/>
    </xf>
    <xf numFmtId="0" fontId="8" fillId="0" borderId="0" xfId="0" applyFont="1" applyAlignment="1">
      <alignment wrapText="1"/>
    </xf>
    <xf numFmtId="0" fontId="6" fillId="0" borderId="0" xfId="0" applyFont="1" applyAlignment="1">
      <alignment horizontal="right" vertical="center" wrapText="1"/>
    </xf>
    <xf numFmtId="14" fontId="9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wrapText="1"/>
    </xf>
    <xf numFmtId="0" fontId="1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18" fontId="0" fillId="0" borderId="1" xfId="0" applyNumberFormat="1" applyBorder="1" applyAlignment="1">
      <alignment wrapText="1"/>
    </xf>
    <xf numFmtId="0" fontId="5" fillId="4" borderId="1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wrapText="1"/>
    </xf>
    <xf numFmtId="1" fontId="13" fillId="6" borderId="0" xfId="0" applyNumberFormat="1" applyFont="1" applyFill="1" applyAlignment="1">
      <alignment wrapText="1"/>
    </xf>
    <xf numFmtId="164" fontId="13" fillId="6" borderId="0" xfId="0" applyNumberFormat="1" applyFont="1" applyFill="1" applyAlignment="1">
      <alignment wrapText="1"/>
    </xf>
    <xf numFmtId="0" fontId="8" fillId="8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5" fillId="0" borderId="0" xfId="0" applyFont="1" applyAlignment="1">
      <alignment wrapText="1"/>
    </xf>
  </cellXfs>
  <cellStyles count="1">
    <cellStyle name="Normal" xfId="0" builtinId="0"/>
  </cellStyles>
  <dxfs count="22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D96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4F9F0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D966"/>
      <rgbColor rgb="FFFF9900"/>
      <rgbColor rgb="FFFF6600"/>
      <rgbColor rgb="FF44546A"/>
      <rgbColor rgb="FF969696"/>
      <rgbColor rgb="FF003366"/>
      <rgbColor rgb="FF00B050"/>
      <rgbColor rgb="FF003300"/>
      <rgbColor rgb="FF333300"/>
      <rgbColor rgb="FF993300"/>
      <rgbColor rgb="FF993366"/>
      <rgbColor rgb="FF1F4E78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9"/>
  <sheetViews>
    <sheetView tabSelected="1" topLeftCell="A48" zoomScaleNormal="100" workbookViewId="0">
      <selection activeCell="A89" sqref="A89"/>
    </sheetView>
  </sheetViews>
  <sheetFormatPr defaultColWidth="8.7109375" defaultRowHeight="15" x14ac:dyDescent="0.25"/>
  <cols>
    <col min="1" max="1" width="79.5703125" style="3" bestFit="1" customWidth="1"/>
    <col min="2" max="2" width="15" style="3" customWidth="1"/>
    <col min="3" max="4" width="18" style="3" customWidth="1"/>
    <col min="5" max="5" width="25" style="3" customWidth="1"/>
    <col min="6" max="16384" width="8.7109375" style="3"/>
  </cols>
  <sheetData>
    <row r="1" spans="1:5" ht="17.25" customHeight="1" x14ac:dyDescent="0.25">
      <c r="A1" s="2" t="s">
        <v>0</v>
      </c>
      <c r="B1" s="2"/>
      <c r="C1" s="2"/>
      <c r="D1" s="2"/>
      <c r="E1" s="2"/>
    </row>
    <row r="2" spans="1:5" ht="15" customHeight="1" x14ac:dyDescent="0.25">
      <c r="A2" s="4" t="s">
        <v>1</v>
      </c>
      <c r="B2" s="5">
        <v>46023</v>
      </c>
    </row>
    <row r="4" spans="1:5" ht="15" customHeight="1" x14ac:dyDescent="0.25">
      <c r="A4" s="6" t="s">
        <v>2</v>
      </c>
      <c r="B4" s="6"/>
      <c r="C4" s="6"/>
      <c r="D4" s="6"/>
      <c r="E4" s="6"/>
    </row>
    <row r="5" spans="1:5" ht="15" customHeight="1" x14ac:dyDescent="0.2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</row>
    <row r="6" spans="1:5" ht="15" customHeight="1" x14ac:dyDescent="0.25">
      <c r="A6" s="8"/>
      <c r="B6" s="8"/>
      <c r="C6" s="9"/>
      <c r="D6" s="9"/>
      <c r="E6" s="8"/>
    </row>
    <row r="7" spans="1:5" ht="15" customHeight="1" x14ac:dyDescent="0.25">
      <c r="A7" s="8"/>
      <c r="B7" s="8"/>
      <c r="C7" s="9"/>
      <c r="D7" s="9"/>
      <c r="E7" s="8"/>
    </row>
    <row r="8" spans="1:5" ht="15" customHeight="1" x14ac:dyDescent="0.25">
      <c r="A8" s="8"/>
      <c r="B8" s="8"/>
      <c r="C8" s="9"/>
      <c r="D8" s="9"/>
      <c r="E8" s="8"/>
    </row>
    <row r="9" spans="1:5" ht="15" customHeight="1" x14ac:dyDescent="0.25">
      <c r="A9" s="8"/>
      <c r="B9" s="8"/>
      <c r="C9" s="9"/>
      <c r="D9" s="9"/>
      <c r="E9" s="8"/>
    </row>
    <row r="10" spans="1:5" ht="15" customHeight="1" x14ac:dyDescent="0.25">
      <c r="A10" s="8"/>
      <c r="B10" s="8"/>
      <c r="C10" s="9"/>
      <c r="D10" s="9"/>
      <c r="E10" s="8"/>
    </row>
    <row r="11" spans="1:5" ht="15" customHeight="1" x14ac:dyDescent="0.25">
      <c r="A11" s="8"/>
      <c r="B11" s="8"/>
      <c r="C11" s="9"/>
      <c r="D11" s="9"/>
      <c r="E11" s="8"/>
    </row>
    <row r="12" spans="1:5" ht="15" customHeight="1" x14ac:dyDescent="0.25">
      <c r="A12" s="8"/>
      <c r="B12" s="8"/>
      <c r="C12" s="9"/>
      <c r="D12" s="9"/>
      <c r="E12" s="8"/>
    </row>
    <row r="13" spans="1:5" ht="15" customHeight="1" x14ac:dyDescent="0.25">
      <c r="A13" s="8"/>
      <c r="B13" s="8"/>
      <c r="C13" s="9"/>
      <c r="D13" s="9"/>
      <c r="E13" s="8"/>
    </row>
    <row r="14" spans="1:5" ht="15" customHeight="1" x14ac:dyDescent="0.25">
      <c r="A14" s="8"/>
      <c r="B14" s="8"/>
      <c r="C14" s="9"/>
      <c r="D14" s="9"/>
      <c r="E14" s="8"/>
    </row>
    <row r="15" spans="1:5" ht="15" customHeight="1" x14ac:dyDescent="0.25">
      <c r="A15" s="8"/>
      <c r="B15" s="8"/>
      <c r="C15" s="9"/>
      <c r="D15" s="9"/>
      <c r="E15" s="8"/>
    </row>
    <row r="16" spans="1:5" ht="15" customHeight="1" x14ac:dyDescent="0.25">
      <c r="A16" s="8"/>
      <c r="B16" s="8"/>
      <c r="C16" s="9"/>
      <c r="D16" s="9"/>
      <c r="E16" s="8"/>
    </row>
    <row r="17" spans="1:5" ht="15" customHeight="1" x14ac:dyDescent="0.25">
      <c r="A17" s="8"/>
      <c r="B17" s="8"/>
      <c r="C17" s="9"/>
      <c r="D17" s="9"/>
      <c r="E17" s="8"/>
    </row>
    <row r="18" spans="1:5" ht="15" customHeight="1" x14ac:dyDescent="0.25">
      <c r="A18" s="8"/>
      <c r="B18" s="8"/>
      <c r="C18" s="9"/>
      <c r="D18" s="9"/>
      <c r="E18" s="8"/>
    </row>
    <row r="19" spans="1:5" ht="15" customHeight="1" x14ac:dyDescent="0.25">
      <c r="A19" s="10" t="s">
        <v>8</v>
      </c>
      <c r="C19" s="11">
        <f>SUM(C6:C18)</f>
        <v>0</v>
      </c>
    </row>
    <row r="20" spans="1:5" ht="15" customHeight="1" x14ac:dyDescent="0.25">
      <c r="A20" s="10" t="s">
        <v>9</v>
      </c>
      <c r="C20" s="11">
        <f>IF(COUNT(C6:C18)&gt;0, AVERAGE(C6:C18), 0)</f>
        <v>0</v>
      </c>
    </row>
    <row r="22" spans="1:5" ht="15" customHeight="1" x14ac:dyDescent="0.25">
      <c r="A22" s="6" t="s">
        <v>10</v>
      </c>
      <c r="B22" s="6"/>
      <c r="C22" s="6"/>
      <c r="D22" s="6"/>
      <c r="E22" s="6"/>
    </row>
    <row r="23" spans="1:5" ht="15" customHeight="1" x14ac:dyDescent="0.25">
      <c r="A23" s="7" t="s">
        <v>3</v>
      </c>
      <c r="B23" s="7" t="s">
        <v>4</v>
      </c>
      <c r="C23" s="7" t="s">
        <v>5</v>
      </c>
      <c r="D23" s="7" t="s">
        <v>6</v>
      </c>
      <c r="E23" s="7" t="s">
        <v>7</v>
      </c>
    </row>
    <row r="24" spans="1:5" ht="15" customHeight="1" x14ac:dyDescent="0.25">
      <c r="A24" s="8"/>
      <c r="B24" s="8"/>
      <c r="C24" s="9"/>
      <c r="D24" s="9"/>
      <c r="E24" s="8"/>
    </row>
    <row r="25" spans="1:5" ht="15" customHeight="1" x14ac:dyDescent="0.25">
      <c r="A25" s="8"/>
      <c r="B25" s="8"/>
      <c r="C25" s="9"/>
      <c r="D25" s="9"/>
      <c r="E25" s="8"/>
    </row>
    <row r="26" spans="1:5" ht="15" customHeight="1" x14ac:dyDescent="0.25">
      <c r="A26" s="8"/>
      <c r="B26" s="8"/>
      <c r="C26" s="9"/>
      <c r="D26" s="9"/>
      <c r="E26" s="8"/>
    </row>
    <row r="27" spans="1:5" ht="15" customHeight="1" x14ac:dyDescent="0.25">
      <c r="A27" s="8"/>
      <c r="B27" s="8"/>
      <c r="C27" s="9"/>
      <c r="D27" s="9"/>
      <c r="E27" s="8"/>
    </row>
    <row r="28" spans="1:5" ht="15" customHeight="1" x14ac:dyDescent="0.25">
      <c r="A28" s="8"/>
      <c r="B28" s="8"/>
      <c r="C28" s="9"/>
      <c r="D28" s="9"/>
      <c r="E28" s="8"/>
    </row>
    <row r="29" spans="1:5" ht="15" customHeight="1" x14ac:dyDescent="0.25">
      <c r="A29" s="8"/>
      <c r="B29" s="8"/>
      <c r="C29" s="9"/>
      <c r="D29" s="9"/>
      <c r="E29" s="8"/>
    </row>
    <row r="30" spans="1:5" ht="15" customHeight="1" x14ac:dyDescent="0.25">
      <c r="A30" s="8"/>
      <c r="B30" s="8"/>
      <c r="C30" s="9"/>
      <c r="D30" s="9"/>
      <c r="E30" s="8"/>
    </row>
    <row r="31" spans="1:5" ht="15" customHeight="1" x14ac:dyDescent="0.25">
      <c r="A31" s="8"/>
      <c r="B31" s="8"/>
      <c r="C31" s="9"/>
      <c r="D31" s="9"/>
      <c r="E31" s="8"/>
    </row>
    <row r="32" spans="1:5" ht="15" customHeight="1" x14ac:dyDescent="0.25">
      <c r="A32" s="8"/>
      <c r="B32" s="8"/>
      <c r="C32" s="9"/>
      <c r="D32" s="9"/>
      <c r="E32" s="8"/>
    </row>
    <row r="33" spans="1:5" ht="15" customHeight="1" x14ac:dyDescent="0.25">
      <c r="A33" s="8"/>
      <c r="B33" s="8"/>
      <c r="C33" s="9"/>
      <c r="D33" s="9"/>
      <c r="E33" s="8"/>
    </row>
    <row r="34" spans="1:5" ht="15" customHeight="1" x14ac:dyDescent="0.25">
      <c r="A34" s="8"/>
      <c r="B34" s="8"/>
      <c r="C34" s="9"/>
      <c r="D34" s="9"/>
      <c r="E34" s="8"/>
    </row>
    <row r="35" spans="1:5" ht="15" customHeight="1" x14ac:dyDescent="0.25">
      <c r="A35" s="8"/>
      <c r="B35" s="8"/>
      <c r="C35" s="9"/>
      <c r="D35" s="9"/>
      <c r="E35" s="8"/>
    </row>
    <row r="36" spans="1:5" ht="15" customHeight="1" x14ac:dyDescent="0.25">
      <c r="A36" s="8"/>
      <c r="B36" s="8"/>
      <c r="C36" s="9"/>
      <c r="D36" s="9"/>
      <c r="E36" s="8"/>
    </row>
    <row r="37" spans="1:5" ht="15" customHeight="1" x14ac:dyDescent="0.25">
      <c r="A37" s="10" t="s">
        <v>11</v>
      </c>
      <c r="C37" s="11">
        <f>SUM(C24:C36)</f>
        <v>0</v>
      </c>
    </row>
    <row r="38" spans="1:5" ht="15" customHeight="1" x14ac:dyDescent="0.25">
      <c r="A38" s="10" t="s">
        <v>12</v>
      </c>
      <c r="C38" s="11">
        <f>IF(COUNT(C24:C36)&gt;0, AVERAGE(C24:C36), 0)</f>
        <v>0</v>
      </c>
    </row>
    <row r="40" spans="1:5" ht="15" customHeight="1" x14ac:dyDescent="0.25">
      <c r="A40" s="6" t="s">
        <v>13</v>
      </c>
      <c r="B40" s="6"/>
      <c r="C40" s="6"/>
      <c r="D40" s="6"/>
      <c r="E40" s="6"/>
    </row>
    <row r="41" spans="1:5" ht="15" customHeight="1" x14ac:dyDescent="0.25">
      <c r="A41" s="7" t="s">
        <v>3</v>
      </c>
      <c r="B41" s="7" t="s">
        <v>4</v>
      </c>
      <c r="C41" s="7" t="s">
        <v>5</v>
      </c>
      <c r="D41" s="7" t="s">
        <v>6</v>
      </c>
      <c r="E41" s="7" t="s">
        <v>7</v>
      </c>
    </row>
    <row r="42" spans="1:5" ht="15" customHeight="1" x14ac:dyDescent="0.25">
      <c r="A42" s="8"/>
      <c r="B42" s="8"/>
      <c r="C42" s="9"/>
      <c r="D42" s="9"/>
      <c r="E42" s="8"/>
    </row>
    <row r="43" spans="1:5" ht="15" customHeight="1" x14ac:dyDescent="0.25">
      <c r="A43" s="8"/>
      <c r="B43" s="8"/>
      <c r="C43" s="9"/>
      <c r="D43" s="9"/>
      <c r="E43" s="8"/>
    </row>
    <row r="44" spans="1:5" ht="15" customHeight="1" x14ac:dyDescent="0.25">
      <c r="A44" s="8"/>
      <c r="B44" s="8"/>
      <c r="C44" s="9"/>
      <c r="D44" s="9"/>
      <c r="E44" s="8"/>
    </row>
    <row r="45" spans="1:5" ht="15" customHeight="1" x14ac:dyDescent="0.25">
      <c r="A45" s="8"/>
      <c r="B45" s="8"/>
      <c r="C45" s="9"/>
      <c r="D45" s="9"/>
      <c r="E45" s="8"/>
    </row>
    <row r="46" spans="1:5" ht="15" customHeight="1" x14ac:dyDescent="0.25">
      <c r="A46" s="8"/>
      <c r="B46" s="8"/>
      <c r="C46" s="9"/>
      <c r="D46" s="9"/>
      <c r="E46" s="8"/>
    </row>
    <row r="47" spans="1:5" ht="15" customHeight="1" x14ac:dyDescent="0.25">
      <c r="A47" s="8"/>
      <c r="B47" s="8"/>
      <c r="C47" s="9"/>
      <c r="D47" s="9"/>
      <c r="E47" s="8"/>
    </row>
    <row r="48" spans="1:5" ht="15" customHeight="1" x14ac:dyDescent="0.25">
      <c r="A48" s="8"/>
      <c r="B48" s="8"/>
      <c r="C48" s="9"/>
      <c r="D48" s="9"/>
      <c r="E48" s="8"/>
    </row>
    <row r="49" spans="1:5" ht="15" customHeight="1" x14ac:dyDescent="0.25">
      <c r="A49" s="8"/>
      <c r="B49" s="8"/>
      <c r="C49" s="9"/>
      <c r="D49" s="9"/>
      <c r="E49" s="8"/>
    </row>
    <row r="50" spans="1:5" ht="15" customHeight="1" x14ac:dyDescent="0.25">
      <c r="A50" s="8"/>
      <c r="B50" s="8"/>
      <c r="C50" s="9"/>
      <c r="D50" s="9"/>
      <c r="E50" s="8"/>
    </row>
    <row r="51" spans="1:5" ht="15" customHeight="1" x14ac:dyDescent="0.25">
      <c r="A51" s="8"/>
      <c r="B51" s="8"/>
      <c r="C51" s="9"/>
      <c r="D51" s="9"/>
      <c r="E51" s="8"/>
    </row>
    <row r="52" spans="1:5" ht="15" customHeight="1" x14ac:dyDescent="0.25">
      <c r="A52" s="8"/>
      <c r="B52" s="8"/>
      <c r="C52" s="9"/>
      <c r="D52" s="9"/>
      <c r="E52" s="8"/>
    </row>
    <row r="53" spans="1:5" ht="15" customHeight="1" x14ac:dyDescent="0.25">
      <c r="A53" s="8"/>
      <c r="B53" s="8"/>
      <c r="C53" s="9"/>
      <c r="D53" s="9"/>
      <c r="E53" s="8"/>
    </row>
    <row r="54" spans="1:5" ht="15" customHeight="1" x14ac:dyDescent="0.25">
      <c r="A54" s="8"/>
      <c r="B54" s="8"/>
      <c r="C54" s="9"/>
      <c r="D54" s="9"/>
      <c r="E54" s="8"/>
    </row>
    <row r="55" spans="1:5" ht="15" customHeight="1" x14ac:dyDescent="0.25">
      <c r="A55" s="10" t="s">
        <v>14</v>
      </c>
      <c r="C55" s="11">
        <f>SUM(C42:C54)</f>
        <v>0</v>
      </c>
    </row>
    <row r="56" spans="1:5" ht="15" customHeight="1" x14ac:dyDescent="0.25">
      <c r="A56" s="10" t="s">
        <v>15</v>
      </c>
      <c r="C56" s="11">
        <f>IF(COUNT(C42:C54)&gt;0, AVERAGE(C42:C54), 0)</f>
        <v>0</v>
      </c>
    </row>
    <row r="58" spans="1:5" ht="15" customHeight="1" x14ac:dyDescent="0.25">
      <c r="A58" s="6" t="s">
        <v>16</v>
      </c>
      <c r="B58" s="6"/>
      <c r="C58" s="6"/>
      <c r="D58" s="6"/>
      <c r="E58" s="6"/>
    </row>
    <row r="59" spans="1:5" ht="15" customHeight="1" x14ac:dyDescent="0.25">
      <c r="A59" s="7" t="s">
        <v>3</v>
      </c>
      <c r="B59" s="7" t="s">
        <v>4</v>
      </c>
      <c r="C59" s="7" t="s">
        <v>5</v>
      </c>
      <c r="D59" s="7" t="s">
        <v>6</v>
      </c>
      <c r="E59" s="7" t="s">
        <v>7</v>
      </c>
    </row>
    <row r="60" spans="1:5" ht="15" customHeight="1" x14ac:dyDescent="0.25">
      <c r="A60" s="8"/>
      <c r="B60" s="8"/>
      <c r="C60" s="9"/>
      <c r="D60" s="9"/>
      <c r="E60" s="8"/>
    </row>
    <row r="61" spans="1:5" ht="15" customHeight="1" x14ac:dyDescent="0.25">
      <c r="A61" s="8"/>
      <c r="B61" s="8"/>
      <c r="C61" s="9"/>
      <c r="D61" s="9"/>
      <c r="E61" s="8"/>
    </row>
    <row r="62" spans="1:5" ht="15" customHeight="1" x14ac:dyDescent="0.25">
      <c r="A62" s="8"/>
      <c r="B62" s="8"/>
      <c r="C62" s="9"/>
      <c r="D62" s="9"/>
      <c r="E62" s="8"/>
    </row>
    <row r="63" spans="1:5" ht="15" customHeight="1" x14ac:dyDescent="0.25">
      <c r="A63" s="8"/>
      <c r="B63" s="8"/>
      <c r="C63" s="9"/>
      <c r="D63" s="9"/>
      <c r="E63" s="8"/>
    </row>
    <row r="64" spans="1:5" ht="15" customHeight="1" x14ac:dyDescent="0.25">
      <c r="A64" s="8"/>
      <c r="B64" s="8"/>
      <c r="C64" s="9"/>
      <c r="D64" s="9"/>
      <c r="E64" s="8"/>
    </row>
    <row r="65" spans="1:5" ht="15" customHeight="1" x14ac:dyDescent="0.25">
      <c r="A65" s="8"/>
      <c r="B65" s="8"/>
      <c r="C65" s="9"/>
      <c r="D65" s="9"/>
      <c r="E65" s="8"/>
    </row>
    <row r="66" spans="1:5" ht="15" customHeight="1" x14ac:dyDescent="0.25">
      <c r="A66" s="8"/>
      <c r="B66" s="8"/>
      <c r="C66" s="9"/>
      <c r="D66" s="9"/>
      <c r="E66" s="8"/>
    </row>
    <row r="67" spans="1:5" ht="15" customHeight="1" x14ac:dyDescent="0.25">
      <c r="A67" s="8"/>
      <c r="B67" s="8"/>
      <c r="C67" s="9"/>
      <c r="D67" s="9"/>
      <c r="E67" s="8"/>
    </row>
    <row r="68" spans="1:5" ht="15" customHeight="1" x14ac:dyDescent="0.25">
      <c r="A68" s="8"/>
      <c r="B68" s="8"/>
      <c r="C68" s="9"/>
      <c r="D68" s="9"/>
      <c r="E68" s="8"/>
    </row>
    <row r="69" spans="1:5" ht="15" customHeight="1" x14ac:dyDescent="0.25">
      <c r="A69" s="8"/>
      <c r="B69" s="8"/>
      <c r="C69" s="9"/>
      <c r="D69" s="9"/>
      <c r="E69" s="8"/>
    </row>
    <row r="70" spans="1:5" ht="15" customHeight="1" x14ac:dyDescent="0.25">
      <c r="A70" s="8"/>
      <c r="B70" s="8"/>
      <c r="C70" s="9"/>
      <c r="D70" s="9"/>
      <c r="E70" s="8"/>
    </row>
    <row r="71" spans="1:5" ht="15" customHeight="1" x14ac:dyDescent="0.25">
      <c r="A71" s="8"/>
      <c r="B71" s="8"/>
      <c r="C71" s="9"/>
      <c r="D71" s="9"/>
      <c r="E71" s="8"/>
    </row>
    <row r="72" spans="1:5" ht="15" customHeight="1" x14ac:dyDescent="0.25">
      <c r="A72" s="8"/>
      <c r="B72" s="8"/>
      <c r="C72" s="9"/>
      <c r="D72" s="9"/>
      <c r="E72" s="8"/>
    </row>
    <row r="73" spans="1:5" ht="15" customHeight="1" x14ac:dyDescent="0.25">
      <c r="A73" s="10" t="s">
        <v>17</v>
      </c>
      <c r="C73" s="11">
        <f>SUM(C60:C72)</f>
        <v>0</v>
      </c>
    </row>
    <row r="74" spans="1:5" ht="15" customHeight="1" x14ac:dyDescent="0.25">
      <c r="A74" s="10" t="s">
        <v>18</v>
      </c>
      <c r="C74" s="11">
        <f>IF(COUNT(C60:C72)&gt;0, AVERAGE(C60:C72), 0)</f>
        <v>0</v>
      </c>
    </row>
    <row r="77" spans="1:5" ht="15.75" customHeight="1" x14ac:dyDescent="0.25">
      <c r="A77" s="12" t="s">
        <v>19</v>
      </c>
      <c r="B77" s="12"/>
      <c r="C77" s="12"/>
      <c r="D77" s="12"/>
      <c r="E77" s="12"/>
    </row>
    <row r="78" spans="1:5" ht="15" customHeight="1" x14ac:dyDescent="0.25">
      <c r="A78" s="13" t="s">
        <v>20</v>
      </c>
      <c r="C78" s="14">
        <f>SUM(C6:C18, C24:C36, C42:C54, C60:C72)</f>
        <v>0</v>
      </c>
    </row>
    <row r="79" spans="1:5" ht="15" customHeight="1" x14ac:dyDescent="0.25">
      <c r="A79" s="13" t="s">
        <v>21</v>
      </c>
      <c r="C79" s="14">
        <f>IF(COUNT(C6:C18, C24:C36, C42:C54, C60:C72)&gt;0, AVERAGE(C6:C18, C24:C36, C42:C54, C60:C72), 0)</f>
        <v>0</v>
      </c>
    </row>
    <row r="80" spans="1:5" ht="15" customHeight="1" x14ac:dyDescent="0.25">
      <c r="A80" s="13" t="s">
        <v>22</v>
      </c>
      <c r="C80" s="14">
        <f>IF(COUNT(D6:D18, D24:D36, D42:D54, D60:D72)&gt;0, AVERAGE(D6:D18, D24:D36, D42:D54, D60:D72), 0)</f>
        <v>0</v>
      </c>
    </row>
    <row r="83" spans="1:1" ht="15" customHeight="1" x14ac:dyDescent="0.25">
      <c r="A83" s="10" t="s">
        <v>23</v>
      </c>
    </row>
    <row r="84" spans="1:1" ht="30" x14ac:dyDescent="0.25">
      <c r="A84" s="3" t="s">
        <v>24</v>
      </c>
    </row>
    <row r="85" spans="1:1" ht="30" x14ac:dyDescent="0.25">
      <c r="A85" s="3" t="s">
        <v>25</v>
      </c>
    </row>
    <row r="86" spans="1:1" ht="30" x14ac:dyDescent="0.25">
      <c r="A86" s="3" t="s">
        <v>26</v>
      </c>
    </row>
    <row r="87" spans="1:1" ht="30" x14ac:dyDescent="0.25">
      <c r="A87" s="3" t="s">
        <v>27</v>
      </c>
    </row>
    <row r="89" spans="1:1" ht="15" customHeight="1" x14ac:dyDescent="0.25">
      <c r="A89" s="15" t="s">
        <v>28</v>
      </c>
    </row>
  </sheetData>
  <mergeCells count="6">
    <mergeCell ref="A77:E77"/>
    <mergeCell ref="A1:E1"/>
    <mergeCell ref="A4:E4"/>
    <mergeCell ref="A22:E22"/>
    <mergeCell ref="A40:E40"/>
    <mergeCell ref="A58:E5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5"/>
  <sheetViews>
    <sheetView zoomScaleNormal="100" workbookViewId="0">
      <pane ySplit="1245" activePane="bottomLeft"/>
      <selection activeCell="A86" sqref="A86"/>
      <selection pane="bottomLeft" activeCell="E84" sqref="E84"/>
    </sheetView>
  </sheetViews>
  <sheetFormatPr defaultColWidth="8.7109375" defaultRowHeight="15" x14ac:dyDescent="0.25"/>
  <cols>
    <col min="1" max="1" width="44.42578125" style="3" customWidth="1"/>
    <col min="2" max="2" width="12" style="3" customWidth="1"/>
    <col min="3" max="3" width="15" style="3" customWidth="1"/>
    <col min="4" max="5" width="12" style="3" customWidth="1"/>
    <col min="6" max="6" width="15" style="3" customWidth="1"/>
    <col min="7" max="7" width="18" style="3" customWidth="1"/>
    <col min="8" max="8" width="30" style="3" customWidth="1"/>
    <col min="9" max="16384" width="8.7109375" style="3"/>
  </cols>
  <sheetData>
    <row r="1" spans="1:8" ht="17.25" customHeight="1" x14ac:dyDescent="0.25">
      <c r="A1" s="2" t="s">
        <v>29</v>
      </c>
      <c r="B1" s="2"/>
      <c r="C1" s="2"/>
      <c r="D1" s="2"/>
      <c r="E1" s="2"/>
      <c r="F1" s="2"/>
      <c r="G1" s="2"/>
      <c r="H1" s="2"/>
    </row>
    <row r="2" spans="1:8" ht="15" customHeight="1" x14ac:dyDescent="0.25">
      <c r="A2" s="16" t="s">
        <v>30</v>
      </c>
      <c r="B2" s="17">
        <v>46023</v>
      </c>
      <c r="C2" s="18" t="s">
        <v>31</v>
      </c>
      <c r="D2" s="18"/>
      <c r="E2" s="18"/>
      <c r="F2" s="18"/>
      <c r="G2" s="18"/>
      <c r="H2" s="18"/>
    </row>
    <row r="3" spans="1:8" ht="15" customHeight="1" x14ac:dyDescent="0.25">
      <c r="A3" s="19" t="s">
        <v>32</v>
      </c>
      <c r="B3" s="19" t="s">
        <v>33</v>
      </c>
      <c r="C3" s="19" t="s">
        <v>34</v>
      </c>
      <c r="D3" s="19" t="s">
        <v>35</v>
      </c>
      <c r="E3" s="19" t="s">
        <v>36</v>
      </c>
      <c r="F3" s="19" t="s">
        <v>37</v>
      </c>
      <c r="G3" s="19" t="s">
        <v>38</v>
      </c>
      <c r="H3" s="19" t="s">
        <v>7</v>
      </c>
    </row>
    <row r="4" spans="1:8" ht="15" customHeight="1" x14ac:dyDescent="0.25">
      <c r="A4" s="20" t="str">
        <f>TEXT(B2+0,"M/D/YYYY")</f>
        <v>1/1/2026</v>
      </c>
      <c r="B4" s="21" t="str">
        <f>TEXT(B2+0,"DDDD")</f>
        <v>Thursday</v>
      </c>
      <c r="C4" s="9">
        <v>1</v>
      </c>
      <c r="D4" s="22"/>
      <c r="E4" s="22"/>
      <c r="F4" s="9" t="str">
        <f t="shared" ref="F4:F35" si="0">IF(AND(D4&lt;&gt;"", E4&lt;&gt;""), (E4-D4)*1440, "")</f>
        <v/>
      </c>
      <c r="G4" s="8"/>
      <c r="H4" s="1"/>
    </row>
    <row r="5" spans="1:8" ht="15" customHeight="1" x14ac:dyDescent="0.25">
      <c r="A5" s="20"/>
      <c r="B5" s="9"/>
      <c r="C5" s="9">
        <v>2</v>
      </c>
      <c r="D5" s="22"/>
      <c r="E5" s="22"/>
      <c r="F5" s="9" t="str">
        <f t="shared" si="0"/>
        <v/>
      </c>
      <c r="G5" s="8"/>
      <c r="H5" s="1"/>
    </row>
    <row r="6" spans="1:8" ht="15" customHeight="1" x14ac:dyDescent="0.25">
      <c r="A6" s="20"/>
      <c r="B6" s="9"/>
      <c r="C6" s="9">
        <v>3</v>
      </c>
      <c r="D6" s="22"/>
      <c r="E6" s="22"/>
      <c r="F6" s="9" t="str">
        <f t="shared" si="0"/>
        <v/>
      </c>
      <c r="G6" s="8"/>
      <c r="H6" s="1"/>
    </row>
    <row r="7" spans="1:8" ht="15" customHeight="1" x14ac:dyDescent="0.25">
      <c r="A7" s="20"/>
      <c r="B7" s="9"/>
      <c r="C7" s="9">
        <v>4</v>
      </c>
      <c r="D7" s="22"/>
      <c r="E7" s="22"/>
      <c r="F7" s="9" t="str">
        <f t="shared" si="0"/>
        <v/>
      </c>
      <c r="G7" s="8"/>
      <c r="H7" s="1"/>
    </row>
    <row r="8" spans="1:8" ht="15" customHeight="1" x14ac:dyDescent="0.25">
      <c r="A8" s="20"/>
      <c r="B8" s="9"/>
      <c r="C8" s="9">
        <v>5</v>
      </c>
      <c r="D8" s="22"/>
      <c r="E8" s="22"/>
      <c r="F8" s="9" t="str">
        <f t="shared" si="0"/>
        <v/>
      </c>
      <c r="G8" s="8"/>
      <c r="H8" s="1"/>
    </row>
    <row r="9" spans="1:8" ht="15" customHeight="1" x14ac:dyDescent="0.25">
      <c r="A9" s="20"/>
      <c r="B9" s="9"/>
      <c r="C9" s="9">
        <v>6</v>
      </c>
      <c r="D9" s="22"/>
      <c r="E9" s="22"/>
      <c r="F9" s="9" t="str">
        <f t="shared" si="0"/>
        <v/>
      </c>
      <c r="G9" s="8"/>
      <c r="H9" s="1"/>
    </row>
    <row r="10" spans="1:8" ht="15" customHeight="1" x14ac:dyDescent="0.25">
      <c r="A10" s="20"/>
      <c r="B10" s="9"/>
      <c r="C10" s="9">
        <v>7</v>
      </c>
      <c r="D10" s="22"/>
      <c r="E10" s="22"/>
      <c r="F10" s="9" t="str">
        <f t="shared" si="0"/>
        <v/>
      </c>
      <c r="G10" s="8"/>
      <c r="H10" s="1"/>
    </row>
    <row r="11" spans="1:8" ht="15" customHeight="1" x14ac:dyDescent="0.25">
      <c r="A11" s="20"/>
      <c r="B11" s="9"/>
      <c r="C11" s="9">
        <v>8</v>
      </c>
      <c r="D11" s="22"/>
      <c r="E11" s="22"/>
      <c r="F11" s="9" t="str">
        <f t="shared" si="0"/>
        <v/>
      </c>
      <c r="G11" s="23">
        <f>SUM(F4:F11)</f>
        <v>0</v>
      </c>
      <c r="H11" s="1"/>
    </row>
    <row r="12" spans="1:8" ht="15" customHeight="1" x14ac:dyDescent="0.25">
      <c r="A12" s="20" t="str">
        <f>TEXT(B2+1,"M/D/YYYY")</f>
        <v>1/2/2026</v>
      </c>
      <c r="B12" s="21" t="str">
        <f>TEXT(B2+1,"DDDD")</f>
        <v>Friday</v>
      </c>
      <c r="C12" s="9">
        <v>1</v>
      </c>
      <c r="D12" s="22"/>
      <c r="E12" s="22"/>
      <c r="F12" s="9" t="str">
        <f t="shared" si="0"/>
        <v/>
      </c>
      <c r="G12" s="8"/>
      <c r="H12" s="1"/>
    </row>
    <row r="13" spans="1:8" ht="15" customHeight="1" x14ac:dyDescent="0.25">
      <c r="A13" s="20"/>
      <c r="B13" s="9"/>
      <c r="C13" s="9">
        <v>2</v>
      </c>
      <c r="D13" s="22"/>
      <c r="E13" s="22"/>
      <c r="F13" s="9" t="str">
        <f t="shared" si="0"/>
        <v/>
      </c>
      <c r="G13" s="8"/>
      <c r="H13" s="1"/>
    </row>
    <row r="14" spans="1:8" ht="15" customHeight="1" x14ac:dyDescent="0.25">
      <c r="A14" s="20"/>
      <c r="B14" s="9"/>
      <c r="C14" s="9">
        <v>3</v>
      </c>
      <c r="D14" s="22"/>
      <c r="E14" s="22"/>
      <c r="F14" s="9" t="str">
        <f t="shared" si="0"/>
        <v/>
      </c>
      <c r="G14" s="8"/>
      <c r="H14" s="1"/>
    </row>
    <row r="15" spans="1:8" ht="15" customHeight="1" x14ac:dyDescent="0.25">
      <c r="A15" s="20"/>
      <c r="B15" s="9"/>
      <c r="C15" s="9">
        <v>4</v>
      </c>
      <c r="D15" s="22"/>
      <c r="E15" s="22"/>
      <c r="F15" s="9" t="str">
        <f t="shared" si="0"/>
        <v/>
      </c>
      <c r="G15" s="8"/>
      <c r="H15" s="1"/>
    </row>
    <row r="16" spans="1:8" ht="15" customHeight="1" x14ac:dyDescent="0.25">
      <c r="A16" s="20"/>
      <c r="B16" s="9"/>
      <c r="C16" s="9">
        <v>5</v>
      </c>
      <c r="D16" s="22"/>
      <c r="E16" s="22"/>
      <c r="F16" s="9" t="str">
        <f t="shared" si="0"/>
        <v/>
      </c>
      <c r="G16" s="8"/>
      <c r="H16" s="1"/>
    </row>
    <row r="17" spans="1:8" ht="15" customHeight="1" x14ac:dyDescent="0.25">
      <c r="A17" s="20"/>
      <c r="B17" s="9"/>
      <c r="C17" s="9">
        <v>6</v>
      </c>
      <c r="D17" s="22"/>
      <c r="E17" s="22"/>
      <c r="F17" s="9" t="str">
        <f t="shared" si="0"/>
        <v/>
      </c>
      <c r="G17" s="8"/>
      <c r="H17" s="1"/>
    </row>
    <row r="18" spans="1:8" ht="15" customHeight="1" x14ac:dyDescent="0.25">
      <c r="A18" s="20"/>
      <c r="B18" s="9"/>
      <c r="C18" s="9">
        <v>7</v>
      </c>
      <c r="D18" s="22"/>
      <c r="E18" s="22"/>
      <c r="F18" s="9" t="str">
        <f t="shared" si="0"/>
        <v/>
      </c>
      <c r="G18" s="8"/>
      <c r="H18" s="1"/>
    </row>
    <row r="19" spans="1:8" ht="15" customHeight="1" x14ac:dyDescent="0.25">
      <c r="A19" s="20"/>
      <c r="B19" s="9"/>
      <c r="C19" s="9">
        <v>8</v>
      </c>
      <c r="D19" s="22"/>
      <c r="E19" s="22"/>
      <c r="F19" s="9" t="str">
        <f t="shared" si="0"/>
        <v/>
      </c>
      <c r="G19" s="23">
        <f>SUM(F12:F19)</f>
        <v>0</v>
      </c>
      <c r="H19" s="1"/>
    </row>
    <row r="20" spans="1:8" ht="15" customHeight="1" x14ac:dyDescent="0.25">
      <c r="A20" s="20" t="str">
        <f>TEXT(B2+2,"M/D/YYYY")</f>
        <v>1/3/2026</v>
      </c>
      <c r="B20" s="21" t="str">
        <f>TEXT(B2+2,"DDDD")</f>
        <v>Saturday</v>
      </c>
      <c r="C20" s="9">
        <v>1</v>
      </c>
      <c r="D20" s="22"/>
      <c r="E20" s="22"/>
      <c r="F20" s="9" t="str">
        <f t="shared" si="0"/>
        <v/>
      </c>
      <c r="G20" s="8"/>
      <c r="H20" s="1"/>
    </row>
    <row r="21" spans="1:8" ht="15" customHeight="1" x14ac:dyDescent="0.25">
      <c r="A21" s="20"/>
      <c r="B21" s="9"/>
      <c r="C21" s="9">
        <v>2</v>
      </c>
      <c r="D21" s="22"/>
      <c r="E21" s="22"/>
      <c r="F21" s="9" t="str">
        <f t="shared" si="0"/>
        <v/>
      </c>
      <c r="G21" s="8"/>
      <c r="H21" s="1"/>
    </row>
    <row r="22" spans="1:8" ht="15" customHeight="1" x14ac:dyDescent="0.25">
      <c r="A22" s="20"/>
      <c r="B22" s="9"/>
      <c r="C22" s="9">
        <v>3</v>
      </c>
      <c r="D22" s="22"/>
      <c r="E22" s="22"/>
      <c r="F22" s="9" t="str">
        <f t="shared" si="0"/>
        <v/>
      </c>
      <c r="G22" s="8"/>
      <c r="H22" s="1"/>
    </row>
    <row r="23" spans="1:8" ht="15" customHeight="1" x14ac:dyDescent="0.25">
      <c r="A23" s="20"/>
      <c r="B23" s="9"/>
      <c r="C23" s="9">
        <v>4</v>
      </c>
      <c r="D23" s="22"/>
      <c r="E23" s="22"/>
      <c r="F23" s="9" t="str">
        <f t="shared" si="0"/>
        <v/>
      </c>
      <c r="G23" s="8"/>
      <c r="H23" s="1"/>
    </row>
    <row r="24" spans="1:8" ht="15" customHeight="1" x14ac:dyDescent="0.25">
      <c r="A24" s="20"/>
      <c r="B24" s="9"/>
      <c r="C24" s="9">
        <v>5</v>
      </c>
      <c r="D24" s="22"/>
      <c r="E24" s="22"/>
      <c r="F24" s="9" t="str">
        <f t="shared" si="0"/>
        <v/>
      </c>
      <c r="G24" s="8"/>
      <c r="H24" s="1"/>
    </row>
    <row r="25" spans="1:8" ht="15" customHeight="1" x14ac:dyDescent="0.25">
      <c r="A25" s="20"/>
      <c r="B25" s="9"/>
      <c r="C25" s="9">
        <v>6</v>
      </c>
      <c r="D25" s="22"/>
      <c r="E25" s="22"/>
      <c r="F25" s="9" t="str">
        <f t="shared" si="0"/>
        <v/>
      </c>
      <c r="G25" s="8"/>
      <c r="H25" s="1"/>
    </row>
    <row r="26" spans="1:8" ht="15" customHeight="1" x14ac:dyDescent="0.25">
      <c r="A26" s="20"/>
      <c r="B26" s="9"/>
      <c r="C26" s="9">
        <v>7</v>
      </c>
      <c r="D26" s="22"/>
      <c r="E26" s="22"/>
      <c r="F26" s="9" t="str">
        <f t="shared" si="0"/>
        <v/>
      </c>
      <c r="G26" s="8"/>
      <c r="H26" s="1"/>
    </row>
    <row r="27" spans="1:8" ht="15" customHeight="1" x14ac:dyDescent="0.25">
      <c r="A27" s="20"/>
      <c r="B27" s="9"/>
      <c r="C27" s="9">
        <v>8</v>
      </c>
      <c r="D27" s="22"/>
      <c r="E27" s="22"/>
      <c r="F27" s="9" t="str">
        <f t="shared" si="0"/>
        <v/>
      </c>
      <c r="G27" s="23">
        <f>SUM(F20:F27)</f>
        <v>0</v>
      </c>
      <c r="H27" s="1"/>
    </row>
    <row r="28" spans="1:8" ht="15" customHeight="1" x14ac:dyDescent="0.25">
      <c r="A28" s="20" t="str">
        <f>TEXT(B2+3,"M/D/YYYY")</f>
        <v>1/4/2026</v>
      </c>
      <c r="B28" s="21" t="str">
        <f>TEXT(B2+3,"DDDD")</f>
        <v>Sunday</v>
      </c>
      <c r="C28" s="9">
        <v>1</v>
      </c>
      <c r="D28" s="22"/>
      <c r="E28" s="22"/>
      <c r="F28" s="9" t="str">
        <f t="shared" si="0"/>
        <v/>
      </c>
      <c r="G28" s="8"/>
      <c r="H28" s="1"/>
    </row>
    <row r="29" spans="1:8" ht="15" customHeight="1" x14ac:dyDescent="0.25">
      <c r="A29" s="20"/>
      <c r="B29" s="9"/>
      <c r="C29" s="9">
        <v>2</v>
      </c>
      <c r="D29" s="22"/>
      <c r="E29" s="22"/>
      <c r="F29" s="9" t="str">
        <f t="shared" si="0"/>
        <v/>
      </c>
      <c r="G29" s="8"/>
      <c r="H29" s="1"/>
    </row>
    <row r="30" spans="1:8" ht="15" customHeight="1" x14ac:dyDescent="0.25">
      <c r="A30" s="20"/>
      <c r="B30" s="9"/>
      <c r="C30" s="9">
        <v>3</v>
      </c>
      <c r="D30" s="22"/>
      <c r="E30" s="22"/>
      <c r="F30" s="9" t="str">
        <f t="shared" si="0"/>
        <v/>
      </c>
      <c r="G30" s="8"/>
      <c r="H30" s="1"/>
    </row>
    <row r="31" spans="1:8" ht="15" customHeight="1" x14ac:dyDescent="0.25">
      <c r="A31" s="20"/>
      <c r="B31" s="9"/>
      <c r="C31" s="9">
        <v>4</v>
      </c>
      <c r="D31" s="22"/>
      <c r="E31" s="22"/>
      <c r="F31" s="9" t="str">
        <f t="shared" si="0"/>
        <v/>
      </c>
      <c r="G31" s="8"/>
      <c r="H31" s="1"/>
    </row>
    <row r="32" spans="1:8" ht="15" customHeight="1" x14ac:dyDescent="0.25">
      <c r="A32" s="20"/>
      <c r="B32" s="9"/>
      <c r="C32" s="9">
        <v>5</v>
      </c>
      <c r="D32" s="22"/>
      <c r="E32" s="22"/>
      <c r="F32" s="9" t="str">
        <f t="shared" si="0"/>
        <v/>
      </c>
      <c r="G32" s="8"/>
      <c r="H32" s="1"/>
    </row>
    <row r="33" spans="1:8" ht="15" customHeight="1" x14ac:dyDescent="0.25">
      <c r="A33" s="20"/>
      <c r="B33" s="9"/>
      <c r="C33" s="9">
        <v>6</v>
      </c>
      <c r="D33" s="22"/>
      <c r="E33" s="22"/>
      <c r="F33" s="9" t="str">
        <f t="shared" si="0"/>
        <v/>
      </c>
      <c r="G33" s="8"/>
      <c r="H33" s="1"/>
    </row>
    <row r="34" spans="1:8" ht="15" customHeight="1" x14ac:dyDescent="0.25">
      <c r="A34" s="20"/>
      <c r="B34" s="9"/>
      <c r="C34" s="9">
        <v>7</v>
      </c>
      <c r="D34" s="22"/>
      <c r="E34" s="22"/>
      <c r="F34" s="9" t="str">
        <f t="shared" si="0"/>
        <v/>
      </c>
      <c r="G34" s="8"/>
      <c r="H34" s="1"/>
    </row>
    <row r="35" spans="1:8" ht="15" customHeight="1" x14ac:dyDescent="0.25">
      <c r="A35" s="20"/>
      <c r="B35" s="9"/>
      <c r="C35" s="9">
        <v>8</v>
      </c>
      <c r="D35" s="22"/>
      <c r="E35" s="22"/>
      <c r="F35" s="9" t="str">
        <f t="shared" si="0"/>
        <v/>
      </c>
      <c r="G35" s="23">
        <f>SUM(F28:F35)</f>
        <v>0</v>
      </c>
      <c r="H35" s="1"/>
    </row>
    <row r="36" spans="1:8" ht="15" customHeight="1" x14ac:dyDescent="0.25">
      <c r="A36" s="20" t="str">
        <f>TEXT(B2+4,"M/D/YYYY")</f>
        <v>1/5/2026</v>
      </c>
      <c r="B36" s="21" t="str">
        <f>TEXT(B2+4,"DDDD")</f>
        <v>Monday</v>
      </c>
      <c r="C36" s="9">
        <v>1</v>
      </c>
      <c r="D36" s="22"/>
      <c r="E36" s="22"/>
      <c r="F36" s="9" t="str">
        <f t="shared" ref="F36:F59" si="1">IF(AND(D36&lt;&gt;"", E36&lt;&gt;""), (E36-D36)*1440, "")</f>
        <v/>
      </c>
      <c r="G36" s="8"/>
      <c r="H36" s="1"/>
    </row>
    <row r="37" spans="1:8" ht="15" customHeight="1" x14ac:dyDescent="0.25">
      <c r="A37" s="20"/>
      <c r="B37" s="9"/>
      <c r="C37" s="9">
        <v>2</v>
      </c>
      <c r="D37" s="22"/>
      <c r="E37" s="22"/>
      <c r="F37" s="9" t="str">
        <f t="shared" si="1"/>
        <v/>
      </c>
      <c r="G37" s="8"/>
      <c r="H37" s="1"/>
    </row>
    <row r="38" spans="1:8" ht="15" customHeight="1" x14ac:dyDescent="0.25">
      <c r="A38" s="20"/>
      <c r="B38" s="9"/>
      <c r="C38" s="9">
        <v>3</v>
      </c>
      <c r="D38" s="22"/>
      <c r="E38" s="22"/>
      <c r="F38" s="9" t="str">
        <f t="shared" si="1"/>
        <v/>
      </c>
      <c r="G38" s="8"/>
      <c r="H38" s="1"/>
    </row>
    <row r="39" spans="1:8" ht="15" customHeight="1" x14ac:dyDescent="0.25">
      <c r="A39" s="20"/>
      <c r="B39" s="9"/>
      <c r="C39" s="9">
        <v>4</v>
      </c>
      <c r="D39" s="22"/>
      <c r="E39" s="22"/>
      <c r="F39" s="9" t="str">
        <f t="shared" si="1"/>
        <v/>
      </c>
      <c r="G39" s="8"/>
      <c r="H39" s="1"/>
    </row>
    <row r="40" spans="1:8" ht="15" customHeight="1" x14ac:dyDescent="0.25">
      <c r="A40" s="20"/>
      <c r="B40" s="9"/>
      <c r="C40" s="9">
        <v>5</v>
      </c>
      <c r="D40" s="22"/>
      <c r="E40" s="22"/>
      <c r="F40" s="9" t="str">
        <f t="shared" si="1"/>
        <v/>
      </c>
      <c r="G40" s="8"/>
      <c r="H40" s="1"/>
    </row>
    <row r="41" spans="1:8" ht="15" customHeight="1" x14ac:dyDescent="0.25">
      <c r="A41" s="20"/>
      <c r="B41" s="9"/>
      <c r="C41" s="9">
        <v>6</v>
      </c>
      <c r="D41" s="22"/>
      <c r="E41" s="22"/>
      <c r="F41" s="9" t="str">
        <f t="shared" si="1"/>
        <v/>
      </c>
      <c r="G41" s="8"/>
      <c r="H41" s="1"/>
    </row>
    <row r="42" spans="1:8" ht="15" customHeight="1" x14ac:dyDescent="0.25">
      <c r="A42" s="20"/>
      <c r="B42" s="9"/>
      <c r="C42" s="9">
        <v>7</v>
      </c>
      <c r="D42" s="22"/>
      <c r="E42" s="22"/>
      <c r="F42" s="9" t="str">
        <f t="shared" si="1"/>
        <v/>
      </c>
      <c r="G42" s="8"/>
      <c r="H42" s="1"/>
    </row>
    <row r="43" spans="1:8" ht="15" customHeight="1" x14ac:dyDescent="0.25">
      <c r="A43" s="20"/>
      <c r="B43" s="9"/>
      <c r="C43" s="9">
        <v>8</v>
      </c>
      <c r="D43" s="22"/>
      <c r="E43" s="22"/>
      <c r="F43" s="9" t="str">
        <f t="shared" si="1"/>
        <v/>
      </c>
      <c r="G43" s="23">
        <f>SUM(F36:F43)</f>
        <v>0</v>
      </c>
      <c r="H43" s="1"/>
    </row>
    <row r="44" spans="1:8" ht="15" customHeight="1" x14ac:dyDescent="0.25">
      <c r="A44" s="20" t="str">
        <f>TEXT(B2+5,"M/D/YYYY")</f>
        <v>1/6/2026</v>
      </c>
      <c r="B44" s="21" t="str">
        <f>TEXT(B2+5,"DDDD")</f>
        <v>Tuesday</v>
      </c>
      <c r="C44" s="9">
        <v>1</v>
      </c>
      <c r="D44" s="22"/>
      <c r="E44" s="22"/>
      <c r="F44" s="9" t="str">
        <f t="shared" si="1"/>
        <v/>
      </c>
      <c r="G44" s="8"/>
      <c r="H44" s="1"/>
    </row>
    <row r="45" spans="1:8" ht="15" customHeight="1" x14ac:dyDescent="0.25">
      <c r="A45" s="20"/>
      <c r="B45" s="9"/>
      <c r="C45" s="9">
        <v>2</v>
      </c>
      <c r="D45" s="22"/>
      <c r="E45" s="22"/>
      <c r="F45" s="9" t="str">
        <f t="shared" si="1"/>
        <v/>
      </c>
      <c r="G45" s="8"/>
      <c r="H45" s="1"/>
    </row>
    <row r="46" spans="1:8" ht="15" customHeight="1" x14ac:dyDescent="0.25">
      <c r="A46" s="20"/>
      <c r="B46" s="9"/>
      <c r="C46" s="9">
        <v>3</v>
      </c>
      <c r="D46" s="22"/>
      <c r="E46" s="22"/>
      <c r="F46" s="9" t="str">
        <f t="shared" si="1"/>
        <v/>
      </c>
      <c r="G46" s="8"/>
      <c r="H46" s="1"/>
    </row>
    <row r="47" spans="1:8" ht="15" customHeight="1" x14ac:dyDescent="0.25">
      <c r="A47" s="20"/>
      <c r="B47" s="9"/>
      <c r="C47" s="9">
        <v>4</v>
      </c>
      <c r="D47" s="22"/>
      <c r="E47" s="22"/>
      <c r="F47" s="9" t="str">
        <f t="shared" si="1"/>
        <v/>
      </c>
      <c r="G47" s="8"/>
      <c r="H47" s="1"/>
    </row>
    <row r="48" spans="1:8" ht="15" customHeight="1" x14ac:dyDescent="0.25">
      <c r="A48" s="20"/>
      <c r="B48" s="9"/>
      <c r="C48" s="9">
        <v>5</v>
      </c>
      <c r="D48" s="22"/>
      <c r="E48" s="22"/>
      <c r="F48" s="9" t="str">
        <f t="shared" si="1"/>
        <v/>
      </c>
      <c r="G48" s="8"/>
      <c r="H48" s="1"/>
    </row>
    <row r="49" spans="1:8" ht="15" customHeight="1" x14ac:dyDescent="0.25">
      <c r="A49" s="20"/>
      <c r="B49" s="9"/>
      <c r="C49" s="9">
        <v>6</v>
      </c>
      <c r="D49" s="22"/>
      <c r="E49" s="22"/>
      <c r="F49" s="9" t="str">
        <f t="shared" si="1"/>
        <v/>
      </c>
      <c r="G49" s="8"/>
      <c r="H49" s="1"/>
    </row>
    <row r="50" spans="1:8" ht="15" customHeight="1" x14ac:dyDescent="0.25">
      <c r="A50" s="20"/>
      <c r="B50" s="9"/>
      <c r="C50" s="9">
        <v>7</v>
      </c>
      <c r="D50" s="22"/>
      <c r="E50" s="22"/>
      <c r="F50" s="9" t="str">
        <f t="shared" si="1"/>
        <v/>
      </c>
      <c r="G50" s="8"/>
      <c r="H50" s="1"/>
    </row>
    <row r="51" spans="1:8" ht="15" customHeight="1" x14ac:dyDescent="0.25">
      <c r="A51" s="20"/>
      <c r="B51" s="9"/>
      <c r="C51" s="9">
        <v>8</v>
      </c>
      <c r="D51" s="22"/>
      <c r="E51" s="22"/>
      <c r="F51" s="9" t="str">
        <f t="shared" si="1"/>
        <v/>
      </c>
      <c r="G51" s="23">
        <f>SUM(F44:F51)</f>
        <v>0</v>
      </c>
      <c r="H51" s="1"/>
    </row>
    <row r="52" spans="1:8" ht="15" customHeight="1" x14ac:dyDescent="0.25">
      <c r="A52" s="20" t="str">
        <f>TEXT(B2+6,"M/D/YYYY")</f>
        <v>1/7/2026</v>
      </c>
      <c r="B52" s="21" t="str">
        <f>TEXT(B2+6,"DDDD")</f>
        <v>Wednesday</v>
      </c>
      <c r="C52" s="9">
        <v>1</v>
      </c>
      <c r="D52" s="22"/>
      <c r="E52" s="22"/>
      <c r="F52" s="9" t="str">
        <f t="shared" si="1"/>
        <v/>
      </c>
      <c r="G52" s="8"/>
      <c r="H52" s="1"/>
    </row>
    <row r="53" spans="1:8" ht="15" customHeight="1" x14ac:dyDescent="0.25">
      <c r="A53" s="20"/>
      <c r="B53" s="9"/>
      <c r="C53" s="9">
        <v>2</v>
      </c>
      <c r="D53" s="22"/>
      <c r="E53" s="22"/>
      <c r="F53" s="9" t="str">
        <f t="shared" si="1"/>
        <v/>
      </c>
      <c r="G53" s="8"/>
      <c r="H53" s="1"/>
    </row>
    <row r="54" spans="1:8" ht="15" customHeight="1" x14ac:dyDescent="0.25">
      <c r="A54" s="20"/>
      <c r="B54" s="9"/>
      <c r="C54" s="9">
        <v>3</v>
      </c>
      <c r="D54" s="22"/>
      <c r="E54" s="22"/>
      <c r="F54" s="9" t="str">
        <f t="shared" si="1"/>
        <v/>
      </c>
      <c r="G54" s="8"/>
      <c r="H54" s="1"/>
    </row>
    <row r="55" spans="1:8" ht="15" customHeight="1" x14ac:dyDescent="0.25">
      <c r="A55" s="20"/>
      <c r="B55" s="9"/>
      <c r="C55" s="9">
        <v>4</v>
      </c>
      <c r="D55" s="22"/>
      <c r="E55" s="22"/>
      <c r="F55" s="9" t="str">
        <f t="shared" si="1"/>
        <v/>
      </c>
      <c r="G55" s="8"/>
      <c r="H55" s="1"/>
    </row>
    <row r="56" spans="1:8" ht="15" customHeight="1" x14ac:dyDescent="0.25">
      <c r="A56" s="20"/>
      <c r="B56" s="9"/>
      <c r="C56" s="9">
        <v>5</v>
      </c>
      <c r="D56" s="22"/>
      <c r="E56" s="22"/>
      <c r="F56" s="9" t="str">
        <f t="shared" si="1"/>
        <v/>
      </c>
      <c r="G56" s="8"/>
      <c r="H56" s="1"/>
    </row>
    <row r="57" spans="1:8" ht="15" customHeight="1" x14ac:dyDescent="0.25">
      <c r="A57" s="20"/>
      <c r="B57" s="9"/>
      <c r="C57" s="9">
        <v>6</v>
      </c>
      <c r="D57" s="22"/>
      <c r="E57" s="22"/>
      <c r="F57" s="9" t="str">
        <f t="shared" si="1"/>
        <v/>
      </c>
      <c r="G57" s="8"/>
      <c r="H57" s="1"/>
    </row>
    <row r="58" spans="1:8" ht="15" customHeight="1" x14ac:dyDescent="0.25">
      <c r="A58" s="20"/>
      <c r="B58" s="9"/>
      <c r="C58" s="9">
        <v>7</v>
      </c>
      <c r="D58" s="22"/>
      <c r="E58" s="22"/>
      <c r="F58" s="9" t="str">
        <f t="shared" si="1"/>
        <v/>
      </c>
      <c r="G58" s="8"/>
      <c r="H58" s="1"/>
    </row>
    <row r="59" spans="1:8" ht="15" customHeight="1" x14ac:dyDescent="0.25">
      <c r="A59" s="20"/>
      <c r="B59" s="9"/>
      <c r="C59" s="9">
        <v>8</v>
      </c>
      <c r="D59" s="22"/>
      <c r="E59" s="22"/>
      <c r="F59" s="9" t="str">
        <f t="shared" si="1"/>
        <v/>
      </c>
      <c r="G59" s="23">
        <f>SUM(F52:F59)</f>
        <v>0</v>
      </c>
      <c r="H59" s="1"/>
    </row>
    <row r="61" spans="1:8" ht="15" customHeight="1" x14ac:dyDescent="0.25">
      <c r="A61" s="24" t="s">
        <v>39</v>
      </c>
      <c r="B61" s="24"/>
      <c r="C61" s="24"/>
      <c r="D61" s="24"/>
      <c r="E61" s="24"/>
      <c r="F61" s="24"/>
      <c r="G61" s="24"/>
      <c r="H61" s="24"/>
    </row>
    <row r="62" spans="1:8" ht="15" customHeight="1" x14ac:dyDescent="0.25">
      <c r="A62" s="25" t="s">
        <v>40</v>
      </c>
      <c r="B62" s="26">
        <f>G11+G19+G27+G35+G43+G51+G59</f>
        <v>0</v>
      </c>
    </row>
    <row r="63" spans="1:8" ht="15" customHeight="1" x14ac:dyDescent="0.25">
      <c r="A63" s="25" t="s">
        <v>41</v>
      </c>
      <c r="B63" s="27">
        <f>B62/60</f>
        <v>0</v>
      </c>
    </row>
    <row r="64" spans="1:8" ht="15" customHeight="1" x14ac:dyDescent="0.25">
      <c r="A64" s="25" t="s">
        <v>42</v>
      </c>
      <c r="B64" s="27">
        <f>B63/7</f>
        <v>0</v>
      </c>
    </row>
    <row r="65" spans="1:1" ht="15" customHeight="1" x14ac:dyDescent="0.25">
      <c r="A65" s="28" t="s">
        <v>43</v>
      </c>
    </row>
  </sheetData>
  <mergeCells count="3">
    <mergeCell ref="A1:H1"/>
    <mergeCell ref="C2:H2"/>
    <mergeCell ref="A61:H61"/>
  </mergeCells>
  <conditionalFormatting sqref="F4:F59">
    <cfRule type="cellIs" dxfId="21" priority="23" operator="greaterThan">
      <formula>60</formula>
    </cfRule>
  </conditionalFormatting>
  <conditionalFormatting sqref="G11">
    <cfRule type="cellIs" dxfId="20" priority="2" operator="greaterThanOrEqual">
      <formula>240</formula>
    </cfRule>
    <cfRule type="cellIs" dxfId="19" priority="3" operator="between">
      <formula>120</formula>
      <formula>239</formula>
    </cfRule>
    <cfRule type="cellIs" dxfId="18" priority="4" operator="lessThan">
      <formula>120</formula>
    </cfRule>
  </conditionalFormatting>
  <conditionalFormatting sqref="G19">
    <cfRule type="cellIs" dxfId="17" priority="5" operator="greaterThanOrEqual">
      <formula>240</formula>
    </cfRule>
    <cfRule type="cellIs" dxfId="16" priority="6" operator="between">
      <formula>120</formula>
      <formula>239</formula>
    </cfRule>
    <cfRule type="cellIs" dxfId="15" priority="7" operator="lessThan">
      <formula>120</formula>
    </cfRule>
  </conditionalFormatting>
  <conditionalFormatting sqref="G27">
    <cfRule type="cellIs" dxfId="14" priority="8" operator="greaterThanOrEqual">
      <formula>240</formula>
    </cfRule>
    <cfRule type="cellIs" dxfId="13" priority="9" operator="between">
      <formula>120</formula>
      <formula>239</formula>
    </cfRule>
    <cfRule type="cellIs" dxfId="12" priority="10" operator="lessThan">
      <formula>120</formula>
    </cfRule>
  </conditionalFormatting>
  <conditionalFormatting sqref="G35">
    <cfRule type="cellIs" dxfId="11" priority="11" operator="greaterThanOrEqual">
      <formula>240</formula>
    </cfRule>
    <cfRule type="cellIs" dxfId="10" priority="12" operator="between">
      <formula>120</formula>
      <formula>239</formula>
    </cfRule>
    <cfRule type="cellIs" dxfId="9" priority="13" operator="lessThan">
      <formula>120</formula>
    </cfRule>
  </conditionalFormatting>
  <conditionalFormatting sqref="G43">
    <cfRule type="cellIs" dxfId="8" priority="14" operator="greaterThanOrEqual">
      <formula>240</formula>
    </cfRule>
    <cfRule type="cellIs" dxfId="7" priority="15" operator="between">
      <formula>120</formula>
      <formula>239</formula>
    </cfRule>
    <cfRule type="cellIs" dxfId="6" priority="16" operator="lessThan">
      <formula>120</formula>
    </cfRule>
  </conditionalFormatting>
  <conditionalFormatting sqref="G51">
    <cfRule type="cellIs" dxfId="5" priority="17" operator="greaterThanOrEqual">
      <formula>240</formula>
    </cfRule>
    <cfRule type="cellIs" dxfId="4" priority="18" operator="between">
      <formula>120</formula>
      <formula>239</formula>
    </cfRule>
    <cfRule type="cellIs" dxfId="3" priority="19" operator="lessThan">
      <formula>120</formula>
    </cfRule>
  </conditionalFormatting>
  <conditionalFormatting sqref="G59">
    <cfRule type="cellIs" dxfId="2" priority="20" operator="greaterThanOrEqual">
      <formula>240</formula>
    </cfRule>
    <cfRule type="cellIs" dxfId="1" priority="21" operator="between">
      <formula>120</formula>
      <formula>239</formula>
    </cfRule>
    <cfRule type="cellIs" dxfId="0" priority="22" operator="lessThan">
      <formula>120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2"/>
  <sheetViews>
    <sheetView zoomScaleNormal="100" workbookViewId="0">
      <selection activeCell="A12" sqref="A12"/>
    </sheetView>
  </sheetViews>
  <sheetFormatPr defaultColWidth="8.7109375" defaultRowHeight="15" x14ac:dyDescent="0.25"/>
  <cols>
    <col min="1" max="1" width="85" style="3" customWidth="1"/>
    <col min="2" max="16384" width="8.7109375" style="3"/>
  </cols>
  <sheetData>
    <row r="1" spans="1:1" ht="17.25" customHeight="1" x14ac:dyDescent="0.25">
      <c r="A1" s="29" t="s">
        <v>44</v>
      </c>
    </row>
    <row r="3" spans="1:1" ht="15" customHeight="1" x14ac:dyDescent="0.25">
      <c r="A3" s="3" t="s">
        <v>45</v>
      </c>
    </row>
    <row r="4" spans="1:1" ht="15" customHeight="1" x14ac:dyDescent="0.25">
      <c r="A4" s="3" t="s">
        <v>46</v>
      </c>
    </row>
    <row r="5" spans="1:1" ht="15" customHeight="1" x14ac:dyDescent="0.25"/>
    <row r="6" spans="1:1" ht="15" customHeight="1" x14ac:dyDescent="0.25">
      <c r="A6" s="30" t="s">
        <v>47</v>
      </c>
    </row>
    <row r="7" spans="1:1" ht="15" customHeight="1" x14ac:dyDescent="0.25">
      <c r="A7" s="3" t="s">
        <v>48</v>
      </c>
    </row>
    <row r="8" spans="1:1" ht="15" customHeight="1" x14ac:dyDescent="0.25">
      <c r="A8" s="3" t="s">
        <v>49</v>
      </c>
    </row>
    <row r="9" spans="1:1" ht="15" customHeight="1" x14ac:dyDescent="0.25">
      <c r="A9" s="3" t="s">
        <v>50</v>
      </c>
    </row>
    <row r="10" spans="1:1" ht="15" customHeight="1" x14ac:dyDescent="0.25"/>
    <row r="11" spans="1:1" ht="15" customHeight="1" x14ac:dyDescent="0.25">
      <c r="A11" s="13" t="s">
        <v>51</v>
      </c>
    </row>
    <row r="12" spans="1:1" ht="15" customHeight="1" x14ac:dyDescent="0.25">
      <c r="A12" s="3" t="s">
        <v>52</v>
      </c>
    </row>
    <row r="13" spans="1:1" ht="15" customHeight="1" x14ac:dyDescent="0.25">
      <c r="A13" s="13" t="s">
        <v>53</v>
      </c>
    </row>
    <row r="14" spans="1:1" ht="15" customHeight="1" x14ac:dyDescent="0.25">
      <c r="A14" s="3" t="s">
        <v>54</v>
      </c>
    </row>
    <row r="15" spans="1:1" ht="15" customHeight="1" x14ac:dyDescent="0.25">
      <c r="A15" s="3" t="s">
        <v>55</v>
      </c>
    </row>
    <row r="16" spans="1:1" ht="15" customHeight="1" x14ac:dyDescent="0.25">
      <c r="A16" s="3" t="s">
        <v>56</v>
      </c>
    </row>
    <row r="17" spans="1:1" ht="15" customHeight="1" x14ac:dyDescent="0.25">
      <c r="A17" s="3" t="s">
        <v>57</v>
      </c>
    </row>
    <row r="18" spans="1:1" ht="15" customHeight="1" x14ac:dyDescent="0.25">
      <c r="A18" s="3" t="s">
        <v>58</v>
      </c>
    </row>
    <row r="20" spans="1:1" ht="15" customHeight="1" x14ac:dyDescent="0.25">
      <c r="A20" s="13" t="s">
        <v>59</v>
      </c>
    </row>
    <row r="21" spans="1:1" ht="15" customHeight="1" x14ac:dyDescent="0.25">
      <c r="A21" s="3" t="s">
        <v>60</v>
      </c>
    </row>
    <row r="22" spans="1:1" ht="15" customHeight="1" x14ac:dyDescent="0.25">
      <c r="A22" s="3" t="s">
        <v>61</v>
      </c>
    </row>
    <row r="23" spans="1:1" ht="15" customHeight="1" x14ac:dyDescent="0.25">
      <c r="A23" s="3" t="s">
        <v>62</v>
      </c>
    </row>
    <row r="24" spans="1:1" ht="15" customHeight="1" x14ac:dyDescent="0.25">
      <c r="A24" s="3" t="s">
        <v>63</v>
      </c>
    </row>
    <row r="25" spans="1:1" ht="15" customHeight="1" x14ac:dyDescent="0.25">
      <c r="A25" s="3" t="s">
        <v>64</v>
      </c>
    </row>
    <row r="28" spans="1:1" ht="15" customHeight="1" x14ac:dyDescent="0.25">
      <c r="A28" s="10" t="s">
        <v>65</v>
      </c>
    </row>
    <row r="29" spans="1:1" ht="15" customHeight="1" x14ac:dyDescent="0.25">
      <c r="A29" s="13" t="s">
        <v>66</v>
      </c>
    </row>
    <row r="30" spans="1:1" ht="15" customHeight="1" x14ac:dyDescent="0.25">
      <c r="A30" s="3" t="s">
        <v>67</v>
      </c>
    </row>
    <row r="31" spans="1:1" ht="15" customHeight="1" x14ac:dyDescent="0.25">
      <c r="A31" s="3" t="s">
        <v>68</v>
      </c>
    </row>
    <row r="32" spans="1:1" ht="15" customHeight="1" x14ac:dyDescent="0.25">
      <c r="A32" s="3" t="s">
        <v>69</v>
      </c>
    </row>
    <row r="33" spans="1:1" ht="15" customHeight="1" x14ac:dyDescent="0.25">
      <c r="A33" s="3" t="s">
        <v>70</v>
      </c>
    </row>
    <row r="35" spans="1:1" ht="15" customHeight="1" x14ac:dyDescent="0.25">
      <c r="A35" s="13" t="s">
        <v>71</v>
      </c>
    </row>
    <row r="36" spans="1:1" ht="15" customHeight="1" x14ac:dyDescent="0.25">
      <c r="A36" s="3" t="s">
        <v>72</v>
      </c>
    </row>
    <row r="37" spans="1:1" ht="15" customHeight="1" x14ac:dyDescent="0.25">
      <c r="A37" s="3" t="s">
        <v>73</v>
      </c>
    </row>
    <row r="38" spans="1:1" ht="15" customHeight="1" x14ac:dyDescent="0.25">
      <c r="A38" s="3" t="s">
        <v>74</v>
      </c>
    </row>
    <row r="39" spans="1:1" ht="15" customHeight="1" x14ac:dyDescent="0.25">
      <c r="A39" s="3" t="s">
        <v>75</v>
      </c>
    </row>
    <row r="41" spans="1:1" ht="15" customHeight="1" x14ac:dyDescent="0.25">
      <c r="A41" s="15" t="s">
        <v>76</v>
      </c>
    </row>
    <row r="43" spans="1:1" x14ac:dyDescent="0.25">
      <c r="A43" s="10" t="s">
        <v>77</v>
      </c>
    </row>
    <row r="44" spans="1:1" x14ac:dyDescent="0.25">
      <c r="A44" s="3" t="s">
        <v>78</v>
      </c>
    </row>
    <row r="45" spans="1:1" x14ac:dyDescent="0.25">
      <c r="A45" s="3" t="s">
        <v>79</v>
      </c>
    </row>
    <row r="46" spans="1:1" ht="30" x14ac:dyDescent="0.25">
      <c r="A46" s="3" t="s">
        <v>80</v>
      </c>
    </row>
    <row r="47" spans="1:1" x14ac:dyDescent="0.25">
      <c r="A47" s="3" t="s">
        <v>81</v>
      </c>
    </row>
    <row r="48" spans="1:1" x14ac:dyDescent="0.25">
      <c r="A48" s="3" t="s">
        <v>82</v>
      </c>
    </row>
    <row r="50" spans="1:1" x14ac:dyDescent="0.25">
      <c r="A50" s="31" t="s">
        <v>83</v>
      </c>
    </row>
    <row r="51" spans="1:1" x14ac:dyDescent="0.25">
      <c r="A51" s="32" t="s">
        <v>84</v>
      </c>
    </row>
    <row r="52" spans="1:1" x14ac:dyDescent="0.25">
      <c r="A52" s="32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Tracking</vt:lpstr>
      <vt:lpstr>Standing Tracker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CJ Locky</cp:lastModifiedBy>
  <cp:revision>0</cp:revision>
  <dcterms:created xsi:type="dcterms:W3CDTF">2026-01-21T15:15:09Z</dcterms:created>
  <dcterms:modified xsi:type="dcterms:W3CDTF">2026-01-21T16:25:53Z</dcterms:modified>
  <dc:language>en-US</dc:language>
</cp:coreProperties>
</file>